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Instrucciones" state="visible" r:id="rId4"/>
    <sheet sheetId="2" name="Inspección" state="visible" r:id="rId5"/>
    <sheet sheetId="3" name="Resultado" state="visible" r:id="rId6"/>
    <sheet sheetId="4" name="Hallazgos" state="visible" r:id="rId7"/>
    <sheet sheetId="5" name="Tarjeta Roja" state="visible" r:id="rId8"/>
    <sheet sheetId="6" name="Listas" state="hidden" r:id="rId9"/>
  </sheets>
  <definedNames>
    <definedName name="_xlnm.Print_Titles" localSheetId="1">'Inspección'!$14:$14</definedName>
    <definedName name="_xlnm.Print_Titles" localSheetId="3">'Hallazgos'!$6:$6</definedName>
    <definedName name="_xlnm.Print_Titles" localSheetId="4">'Tarjeta Roja'!$6:$6</definedName>
  </definedNames>
  <calcPr calcId="171027"/>
</workbook>
</file>

<file path=xl/sharedStrings.xml><?xml version="1.0" encoding="utf-8"?>
<sst xmlns="http://schemas.openxmlformats.org/spreadsheetml/2006/main" count="319" uniqueCount="201">
  <si>
    <t>RED DE COLEGIOS MANO AMIGA  ·  PROGRAMA SOL</t>
  </si>
  <si>
    <t>INSTRUCCIONES DE USO</t>
  </si>
  <si>
    <t>Formato de Inspección SOL · Clave: SOL-F01 · Versión 1.2</t>
  </si>
  <si>
    <t>FORMATO VIGENTE</t>
  </si>
  <si>
    <t>SOL-F01 · Versión 1.2 · 33 criterios en 8 áreas · vigente desde 28/10/2026</t>
  </si>
  <si>
    <t>CÓMO LLENAR EL FORMATO</t>
  </si>
  <si>
    <t>En la hoja Inspección elige el Campus y el Tipo de inspección de las listas; captura la fecha y los inspectores. El territorio se llena solo.</t>
  </si>
  <si>
    <t>Escribe el nombre del dueño en el renglón azul de cada área.</t>
  </si>
  <si>
    <t>Recorre las 8 áreas y califica cada criterio: 2 = Cumple · 1 = Cumple parcialmente · 0 = No cumple · NA = No aplica (por ejemplo, un campus sin laboratorio).</t>
  </si>
  <si>
    <t>Todo criterio con 0 o 1 lleva observación y foto. Regístralo en la hoja Hallazgos con responsable y fecha compromiso.</t>
  </si>
  <si>
    <t>La hoja Resultado calcula sola el Índice SOL (0–100), el % por área y por componente S · O · L, con semáforo.</t>
  </si>
  <si>
    <t>Los artículos que no se necesitan se marcan con tarjeta roja y se registran en la hoja Tarjeta Roja; su destino se decide en máximo 30 días.</t>
  </si>
  <si>
    <t>Imprime o guarda en PDF las hojas Inspección y Resultado, fírmalas y envíalas a la Coordinación RCMA junto con las fotos.</t>
  </si>
  <si>
    <t>SOL revisa hábitos: que todo esté despejado, ordenado y limpio. El estado del inmueble (instalaciones, fugas, daños) no se califica aquí: se reporta a Mantenimiento con Ticket MAS.</t>
  </si>
  <si>
    <t>SEMÁFORO DEL ÍNDICE SOL</t>
  </si>
  <si>
    <t>VERDE</t>
  </si>
  <si>
    <t>85 a 100 · Campus SOL: candidato al distintivo anual</t>
  </si>
  <si>
    <t>ÁMBAR</t>
  </si>
  <si>
    <t>70 a 84 · En mejora: hallazgos con fecha de cierre</t>
  </si>
  <si>
    <t>ROJO</t>
  </si>
  <si>
    <t>0 a 69 · Plan de acción: acompañamiento del territorio</t>
  </si>
  <si>
    <t>Frecuencia: semanal (Comité SOL) · mensual (Director de campus) · trimestral (auditoría cruzada) · anual (verificación NOM-001-STPS-2008). Las celdas de captura están desbloqueadas; el resto está protegido para que el Sistema RCMA pueda leer el archivo. No agregues ni muevas filas o columnas.</t>
  </si>
  <si>
    <t>Colegios Mano Amiga — Juntos Transformando Vidas.</t>
  </si>
  <si>
    <t>SOL-F01 · v1.2 · Sistema RCMA</t>
  </si>
  <si>
    <t>FORMATO DE INSPECCIÓN SOL</t>
  </si>
  <si>
    <t>Seguridad · Orden · Limpieza — Clave: SOL-F01 · Versión 1.2</t>
  </si>
  <si>
    <t>CLAVE</t>
  </si>
  <si>
    <t>VERSIÓN</t>
  </si>
  <si>
    <t>CRITERIOS</t>
  </si>
  <si>
    <t>ÁREAS</t>
  </si>
  <si>
    <t>SOL-F01</t>
  </si>
  <si>
    <t>v1.2  ·  vigente desde 28/10/2026</t>
  </si>
  <si>
    <t>8 áreas · S · O · L</t>
  </si>
  <si>
    <t>DATOS DE LA INSPECCIÓN</t>
  </si>
  <si>
    <t>Campus</t>
  </si>
  <si>
    <t>Territorio</t>
  </si>
  <si>
    <t>Fecha de inspección</t>
  </si>
  <si>
    <t>Tipo de inspección</t>
  </si>
  <si>
    <t>Inspector(es)</t>
  </si>
  <si>
    <t>Director de campus</t>
  </si>
  <si>
    <t>Escala: 2 = Cumple · 1 = Cumple parcialmente · 0 = No cumple · NA = No aplica.   Tipo: S = Seguridad · O = Orden · L = Limpieza.   Todo 0 o 1 se registra en la hoja Hallazgos.</t>
  </si>
  <si>
    <t>No.</t>
  </si>
  <si>
    <t>Área</t>
  </si>
  <si>
    <t>Tipo</t>
  </si>
  <si>
    <t>Criterio a verificar</t>
  </si>
  <si>
    <t>Calificación</t>
  </si>
  <si>
    <t>Observación / hallazgo</t>
  </si>
  <si>
    <t>¿Foto?</t>
  </si>
  <si>
    <t>AULAS    ·    Dueño del área: ______________________________</t>
  </si>
  <si>
    <t>Aulas</t>
  </si>
  <si>
    <t>S</t>
  </si>
  <si>
    <t>Salida y pasillos libres de obstáculos; la puerta abre sin obstrucción</t>
  </si>
  <si>
    <t>Sin extensiones improvisadas ni cables en el paso; daños reportados a Mantenimiento</t>
  </si>
  <si>
    <t>O</t>
  </si>
  <si>
    <t>Mobiliario acomodado; nada fuera de lugar</t>
  </si>
  <si>
    <t>Material didáctico guardado y rotulado</t>
  </si>
  <si>
    <t>L</t>
  </si>
  <si>
    <t>Piso, pizarrón, ventanas y mobiliario limpios; basura en su contenedor</t>
  </si>
  <si>
    <t>BAÑOS    ·    Dueño del área: ______________________________</t>
  </si>
  <si>
    <t>Baños</t>
  </si>
  <si>
    <t>Pisos secos; fugas reportadas a Mantenimiento</t>
  </si>
  <si>
    <t>Insumos (papel, jabón) abastecidos y en su lugar</t>
  </si>
  <si>
    <t>Sanitarios, lavabos y espejos limpios, sin malos olores</t>
  </si>
  <si>
    <t>Bitácora de limpieza visible y al día</t>
  </si>
  <si>
    <t>COCINA Y CAFETERÍA    ·    Dueño del área: ______________________________</t>
  </si>
  <si>
    <t>Cocina y cafetería</t>
  </si>
  <si>
    <t>Extintor visible y sin obstrucciones; área de gas despejada</t>
  </si>
  <si>
    <t>Químicos de limpieza separados de los alimentos</t>
  </si>
  <si>
    <t>Utensilios y alimentos en su lugar, rotulados y con fecha</t>
  </si>
  <si>
    <t>Superficies, campana y equipo limpios</t>
  </si>
  <si>
    <t>BODEGAS    ·    Dueño del área: ______________________________</t>
  </si>
  <si>
    <t>Bodegas</t>
  </si>
  <si>
    <t>Estibas estables, material pesado abajo; sin acceso de alumnos</t>
  </si>
  <si>
    <t>Sustancias químicas rotuladas y con hoja de seguridad</t>
  </si>
  <si>
    <t>Estantes rotulados; cada cosa en su lugar</t>
  </si>
  <si>
    <t>Sin material obsoleto (tarjetas rojas atendidas)</t>
  </si>
  <si>
    <t>Piso y estantes limpios, sin plagas</t>
  </si>
  <si>
    <t>CUARTOS TÉCNICOS    ·    Dueño del área: ______________________________</t>
  </si>
  <si>
    <t>Cuartos técnicos</t>
  </si>
  <si>
    <t>Acceso restringido; área despejada frente al tablero, sin materiales almacenados</t>
  </si>
  <si>
    <t>Área limpia, sin polvo ni basura acumulada</t>
  </si>
  <si>
    <t>PATIOS Y RUTAS DE EVACUACIÓN    ·    Dueño del área: ______________________________</t>
  </si>
  <si>
    <t>Patios y rutas de evacuación</t>
  </si>
  <si>
    <t>Rutas y salidas de emergencia libres de obstáculos</t>
  </si>
  <si>
    <t>Mobiliario exterior y equipo deportivo guardado</t>
  </si>
  <si>
    <t>Patios y áreas verdes limpios; basura en sus contenedores</t>
  </si>
  <si>
    <t>OFICINAS    ·    Dueño del área: ______________________________</t>
  </si>
  <si>
    <t>Oficinas</t>
  </si>
  <si>
    <t>Extintor visible y accesible, sin obstrucciones</t>
  </si>
  <si>
    <t>Botiquín completo, localizable y con insumos vigentes</t>
  </si>
  <si>
    <t>Cables ordenados, sin sobrecarga de contactos</t>
  </si>
  <si>
    <t>Escritorios y archivos ordenados; documentos resguardados</t>
  </si>
  <si>
    <t>Área limpia</t>
  </si>
  <si>
    <t>LABORATORIOS Y TALLERES    ·    Dueño del área: ______________________________</t>
  </si>
  <si>
    <t>Laboratorios y talleres</t>
  </si>
  <si>
    <t>Equipo de protección disponible y en su lugar</t>
  </si>
  <si>
    <t>Reactivos y herramientas resguardados bajo llave</t>
  </si>
  <si>
    <t>Herramientas y material con lugar asignado y rotulado</t>
  </si>
  <si>
    <t>Reglamento del laboratorio o taller visible</t>
  </si>
  <si>
    <t>Mesas, tarjas y equipo limpios</t>
  </si>
  <si>
    <t>Nombre y firma</t>
  </si>
  <si>
    <t>Inspector</t>
  </si>
  <si>
    <t>Director(a) de campus</t>
  </si>
  <si>
    <t>Coordinador(a) del Comité SOL</t>
  </si>
  <si>
    <t>RESULTADO · ÍNDICE SOL</t>
  </si>
  <si>
    <t>Se calcula solo con la hoja Inspección · SOL-F01 · v1.2</t>
  </si>
  <si>
    <t>CAMPUS</t>
  </si>
  <si>
    <t>FECHA</t>
  </si>
  <si>
    <t>TIPO DE INSPECCIÓN</t>
  </si>
  <si>
    <t>ÍNDICE SOL</t>
  </si>
  <si>
    <t>PUNTOS OBTENIDOS ÷ POSIBLES × 100</t>
  </si>
  <si>
    <t>RESULTADO POR ÁREA</t>
  </si>
  <si>
    <t>Puntos obtenidos</t>
  </si>
  <si>
    <t>Puntos posibles</t>
  </si>
  <si>
    <t>% cumplimiento</t>
  </si>
  <si>
    <t>Semáforo</t>
  </si>
  <si>
    <t>RESULTADO POR COMPONENTE</t>
  </si>
  <si>
    <t>Componente</t>
  </si>
  <si>
    <t>S · Seguridad</t>
  </si>
  <si>
    <t>O · Orden</t>
  </si>
  <si>
    <t>L · Limpieza</t>
  </si>
  <si>
    <t>Rangos: Verde 85–100 (Campus SOL) · Ámbar 70–84 (En mejora) · Rojo 0–69 (Plan de acción). NA no suma ni resta.</t>
  </si>
  <si>
    <t>PLAN DE ACCIÓN · HALLAZGOS SOL</t>
  </si>
  <si>
    <t>Todo criterio calificado 0 o 1 se registra aquí con responsable y fecha · SOL-F01 · v1.2</t>
  </si>
  <si>
    <t>Fecha</t>
  </si>
  <si>
    <t>Hallazgo</t>
  </si>
  <si>
    <t>Acción correctiva</t>
  </si>
  <si>
    <t>Responsable</t>
  </si>
  <si>
    <t>Fecha compromiso</t>
  </si>
  <si>
    <t>¿Requiere Ticket?</t>
  </si>
  <si>
    <t>Folio Ticket</t>
  </si>
  <si>
    <t>Estatus</t>
  </si>
  <si>
    <t>Fecha de cierre</t>
  </si>
  <si>
    <t>Días abierto</t>
  </si>
  <si>
    <t>REGISTRO DE TARJETAS ROJAS</t>
  </si>
  <si>
    <t>Artículos identificados en la etapa Clasificar: su destino se decide en máximo 30 días · SOL-F01 · v1.2</t>
  </si>
  <si>
    <t>Folio</t>
  </si>
  <si>
    <t>Artículo / material</t>
  </si>
  <si>
    <t>Cantidad</t>
  </si>
  <si>
    <t>Motivo</t>
  </si>
  <si>
    <t>Destino</t>
  </si>
  <si>
    <t>Fecha límite</t>
  </si>
  <si>
    <t>Observaciones</t>
  </si>
  <si>
    <t>TR-001</t>
  </si>
  <si>
    <t>TR-002</t>
  </si>
  <si>
    <t>TR-003</t>
  </si>
  <si>
    <t>TR-004</t>
  </si>
  <si>
    <t>TR-005</t>
  </si>
  <si>
    <t>TR-006</t>
  </si>
  <si>
    <t>TR-007</t>
  </si>
  <si>
    <t>TR-008</t>
  </si>
  <si>
    <t>TR-009</t>
  </si>
  <si>
    <t>TR-010</t>
  </si>
  <si>
    <t>TR-011</t>
  </si>
  <si>
    <t>TR-012</t>
  </si>
  <si>
    <t>TR-013</t>
  </si>
  <si>
    <t>TR-014</t>
  </si>
  <si>
    <t>TR-015</t>
  </si>
  <si>
    <t>TR-016</t>
  </si>
  <si>
    <t>TR-017</t>
  </si>
  <si>
    <t>TR-018</t>
  </si>
  <si>
    <t>TR-019</t>
  </si>
  <si>
    <t>TR-020</t>
  </si>
  <si>
    <t>TR-021</t>
  </si>
  <si>
    <t>TR-022</t>
  </si>
  <si>
    <t>TR-023</t>
  </si>
  <si>
    <t>TR-024</t>
  </si>
  <si>
    <t>TR-025</t>
  </si>
  <si>
    <t>TR-026</t>
  </si>
  <si>
    <t>TR-027</t>
  </si>
  <si>
    <t>TR-028</t>
  </si>
  <si>
    <t>TR-029</t>
  </si>
  <si>
    <t>TR-030</t>
  </si>
  <si>
    <t>Áreas</t>
  </si>
  <si>
    <t>Mano Amiga Aguascalientes</t>
  </si>
  <si>
    <t>NORTE</t>
  </si>
  <si>
    <t>Semanal · Comité SOL</t>
  </si>
  <si>
    <t>Mano Amiga Guadalajara</t>
  </si>
  <si>
    <t>Mensual · Director de campus</t>
  </si>
  <si>
    <t>Mano Amiga La Cima</t>
  </si>
  <si>
    <t>Trimestral · Auditoría cruzada</t>
  </si>
  <si>
    <t>Mano Amiga León</t>
  </si>
  <si>
    <t>Anual · Verificación NOM-001-STPS</t>
  </si>
  <si>
    <t>Mano Amiga Monterrey</t>
  </si>
  <si>
    <t>Línea base</t>
  </si>
  <si>
    <t>Mano Amiga Piedras Negras</t>
  </si>
  <si>
    <t>Mano Amiga Santa Catarina</t>
  </si>
  <si>
    <t>Mano Amiga Tijuana</t>
  </si>
  <si>
    <t>Mano Amiga Torreón</t>
  </si>
  <si>
    <t>Mano Amiga Villas de San Juan</t>
  </si>
  <si>
    <t>Mano Amiga Acapulco</t>
  </si>
  <si>
    <t>MÉXICO</t>
  </si>
  <si>
    <t>Mano Amiga Cancún</t>
  </si>
  <si>
    <t>Mano Amiga Chalco</t>
  </si>
  <si>
    <t>Mano Amiga Conkal</t>
  </si>
  <si>
    <t>Mano Amiga Lerma</t>
  </si>
  <si>
    <t>Mano Amiga Morelia</t>
  </si>
  <si>
    <t>Mano Amiga Puebla</t>
  </si>
  <si>
    <t>Mano Amiga Querétaro</t>
  </si>
  <si>
    <t>Mano Amiga Tapachula</t>
  </si>
  <si>
    <t>Mano Amiga Zomeyucan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</si>
</sst>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33" x14ac:knownFonts="1">
    <font>
      <color theme="1"/>
      <family val="2"/>
      <scheme val="minor"/>
      <sz val="11"/>
      <name val="Calibri"/>
    </font>
    <font>
      <b/>
      <color rgb="FFC7D7EA"/>
      <sz val="8"/>
      <name val="Calibri"/>
    </font>
    <font>
      <b/>
      <color rgb="FFFFFFFF"/>
      <sz val="18"/>
      <name val="Calibri"/>
    </font>
    <font>
      <color rgb="FFE2E8F0"/>
      <sz val="9.5"/>
      <name val="Calibri"/>
    </font>
    <font>
      <b/>
      <color rgb="FF64748B"/>
      <sz val="7.5"/>
      <name val="Calibri"/>
    </font>
    <font>
      <b/>
      <color rgb="FF1F4E79"/>
      <sz val="11"/>
      <name val="Calibri"/>
    </font>
    <font>
      <b/>
      <color rgb="FF1F4E79"/>
      <sz val="10"/>
      <name val="Calibri"/>
    </font>
    <font>
      <b/>
      <color rgb="FFE87722"/>
      <sz val="13"/>
      <name val="Calibri"/>
    </font>
    <font>
      <color rgb="FF1E293B"/>
      <sz val="10"/>
      <name val="Calibri"/>
    </font>
    <font>
      <b/>
      <color rgb="FFFFFFFF"/>
      <sz val="8.5"/>
      <name val="Calibri"/>
    </font>
    <font>
      <sz val="10"/>
      <name val="Calibri"/>
    </font>
    <font>
      <i/>
      <color rgb="FF64748B"/>
      <sz val="9"/>
      <name val="Calibri"/>
    </font>
    <font>
      <i/>
      <color rgb="FFFFFFFF"/>
      <sz val="8.5"/>
      <name val="Calibri"/>
    </font>
    <font>
      <color rgb="FFCBD5E1"/>
      <sz val="8.5"/>
      <name val="Calibri"/>
    </font>
    <font>
      <b/>
      <color rgb="FF1F4E79"/>
      <sz val="12"/>
      <name val="Calibri"/>
    </font>
    <font>
      <b/>
      <color rgb="FFDC2626"/>
      <sz val="12"/>
      <name val="Calibri"/>
    </font>
    <font>
      <b/>
      <color rgb="FF64748B"/>
      <sz val="9"/>
      <name val="Calibri"/>
    </font>
    <font>
      <b/>
      <color rgb="FF1F4E79"/>
      <sz val="10.5"/>
      <name val="Calibri"/>
    </font>
    <font>
      <i/>
      <color rgb="FF64748B"/>
      <sz val="8.5"/>
      <name val="Calibri"/>
    </font>
    <font>
      <b/>
      <color rgb="FF1F4E79"/>
      <sz val="9.5"/>
      <name val="Calibri"/>
    </font>
    <font>
      <b/>
      <color rgb="FF94A3B8"/>
      <sz val="10"/>
      <name val="Calibri"/>
    </font>
    <font>
      <color rgb="FF64748B"/>
      <sz val="8.5"/>
      <name val="Calibri"/>
    </font>
    <font>
      <b/>
      <color rgb="FFC95F14"/>
      <sz val="11"/>
      <name val="Calibri"/>
    </font>
    <font>
      <b/>
      <sz val="10"/>
      <name val="Calibri"/>
    </font>
    <font>
      <b/>
      <color rgb="FF2F6DB5"/>
      <sz val="11"/>
      <name val="Calibri"/>
    </font>
    <font>
      <color rgb="FF64748B"/>
      <sz val="8"/>
      <name val="Calibri"/>
    </font>
    <font>
      <b/>
      <color rgb="FFFFFFFF"/>
      <sz val="16"/>
      <name val="Calibri"/>
    </font>
    <font>
      <b/>
      <color rgb="FFFFFFFF"/>
      <sz val="13"/>
      <name val="Calibri"/>
    </font>
    <font>
      <b/>
      <color rgb="FF1F4E79"/>
      <sz val="30"/>
      <name val="Calibri"/>
    </font>
    <font>
      <b/>
      <color rgb="FF1E293B"/>
      <sz val="10"/>
      <name val="Calibri"/>
    </font>
    <font>
      <b/>
      <color rgb="FF94A3B8"/>
      <sz val="9.5"/>
      <name val="Calibri"/>
    </font>
    <font>
      <sz val="9.5"/>
      <name val="Calibri"/>
    </font>
    <font>
      <b/>
      <color rgb="FFDC2626"/>
      <sz val="9.5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598A"/>
      </patternFill>
    </fill>
    <fill>
      <patternFill patternType="solid">
        <fgColor rgb="FFE87722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2E7D32"/>
      </patternFill>
    </fill>
    <fill>
      <patternFill patternType="solid">
        <fgColor rgb="FFC98A00"/>
      </patternFill>
    </fill>
    <fill>
      <patternFill patternType="solid">
        <fgColor rgb="FFC62828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EAF0F7"/>
      </patternFill>
    </fill>
    <fill>
      <patternFill patternType="solid">
        <fgColor rgb="FF94A3B8"/>
      </patternFill>
    </fill>
    <fill>
      <patternFill patternType="solid">
        <fgColor rgb="FFFFFBF5"/>
      </patternFill>
    </fill>
  </fills>
  <borders count="20">
    <border>
      <left/>
      <right/>
      <top/>
      <bottom/>
      <diagonal/>
    </border>
    <border>
      <left/>
      <right style="thin">
        <color rgb="FFE2E8F0"/>
      </right>
      <top style="thick">
        <color rgb="FF1F4E79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E87722"/>
      </left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ck">
        <color rgb="FFE87722"/>
      </top>
      <bottom/>
      <diagonal/>
    </border>
    <border>
      <left style="thin">
        <color rgb="FFE2E8F0"/>
      </left>
      <right style="thin">
        <color rgb="FFE2E8F0"/>
      </right>
      <top style="thick">
        <color rgb="FF1F4E79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2F5F8F"/>
      </right>
      <top/>
      <bottom/>
      <diagonal/>
    </border>
    <border>
      <left style="thick">
        <color rgb="FFE87722"/>
      </left>
      <right/>
      <top style="thin">
        <color rgb="FFC9D6E6"/>
      </top>
      <bottom style="thin">
        <color rgb="FFC9D6E6"/>
      </bottom>
      <diagonal/>
    </border>
    <border>
      <left/>
      <right style="thin">
        <color rgb="FFEEF2F7"/>
      </right>
      <top/>
      <bottom style="thin">
        <color rgb="FFE2E8F0"/>
      </bottom>
      <diagonal/>
    </border>
    <border>
      <left/>
      <right style="dashed">
        <color rgb="FFCBD5E1"/>
      </right>
      <top style="dashed">
        <color rgb="FFCBD5E1"/>
      </top>
      <bottom/>
      <diagonal/>
    </border>
    <border>
      <left style="dashed">
        <color rgb="FFCBD5E1"/>
      </left>
      <right style="dashed">
        <color rgb="FFCBD5E1"/>
      </right>
      <top style="dashed">
        <color rgb="FFCBD5E1"/>
      </top>
      <bottom/>
      <diagonal/>
    </border>
    <border>
      <left/>
      <right style="dashed">
        <color rgb="FFCBD5E1"/>
      </right>
      <top style="thin">
        <color rgb="FF94A3B8"/>
      </top>
      <bottom/>
      <diagonal/>
    </border>
    <border>
      <left style="dashed">
        <color rgb="FFCBD5E1"/>
      </left>
      <right style="dashed">
        <color rgb="FFCBD5E1"/>
      </right>
      <top style="thin">
        <color rgb="FF94A3B8"/>
      </top>
      <bottom/>
      <diagonal/>
    </border>
    <border>
      <left/>
      <right style="dashed">
        <color rgb="FFCBD5E1"/>
      </right>
      <top/>
      <bottom style="dashed">
        <color rgb="FFCBD5E1"/>
      </bottom>
      <diagonal/>
    </border>
    <border>
      <left style="dashed">
        <color rgb="FFCBD5E1"/>
      </left>
      <right style="dashed">
        <color rgb="FFCBD5E1"/>
      </right>
      <top/>
      <bottom style="dashed">
        <color rgb="FFCBD5E1"/>
      </bottom>
      <diagonal/>
    </border>
    <border>
      <left/>
      <right style="thin">
        <color rgb="FFE2E8F0"/>
      </right>
      <top style="thick">
        <color rgb="FFE87722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0" fontId="4" fillId="5" borderId="1" xfId="0" applyFont="1" applyFill="1" applyBorder="1" applyAlignment="1">
      <alignment vertical="bottom" indent="1"/>
    </xf>
    <xf numFmtId="0" fontId="5" fillId="5" borderId="2" xfId="0" applyFont="1" applyFill="1" applyBorder="1" applyAlignment="1">
      <alignment horizontal="left" vertical="center" indent="1"/>
    </xf>
    <xf numFmtId="0" fontId="6" fillId="6" borderId="3" xfId="0" applyFont="1" applyFill="1" applyBorder="1" applyAlignment="1">
      <alignment vertical="center" inden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 indent="1"/>
    </xf>
    <xf numFmtId="0" fontId="9" fillId="7" borderId="0" xfId="0" applyFont="1" applyFill="1" applyAlignment="1">
      <alignment horizontal="center" vertical="center"/>
    </xf>
    <xf numFmtId="0" fontId="10" fillId="0" borderId="4" xfId="0" applyFont="1" applyBorder="1" applyAlignment="1">
      <alignment vertical="center" indent="1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2" borderId="0" xfId="0" applyFont="1" applyFill="1" applyAlignment="1">
      <alignment vertical="center" indent="1"/>
    </xf>
    <xf numFmtId="0" fontId="13" fillId="2" borderId="0" xfId="0" applyFont="1" applyFill="1" applyAlignment="1">
      <alignment horizontal="right" vertical="center" indent="1"/>
    </xf>
    <xf numFmtId="0" fontId="4" fillId="5" borderId="5" xfId="0" applyFont="1" applyFill="1" applyBorder="1" applyAlignment="1">
      <alignment vertical="bottom" indent="1"/>
    </xf>
    <xf numFmtId="0" fontId="4" fillId="5" borderId="6" xfId="0" applyFont="1" applyFill="1" applyBorder="1" applyAlignment="1">
      <alignment vertical="bottom" indent="1"/>
    </xf>
    <xf numFmtId="0" fontId="14" fillId="5" borderId="2" xfId="0" applyFont="1" applyFill="1" applyBorder="1" applyAlignment="1">
      <alignment horizontal="left" vertical="center" indent="1"/>
    </xf>
    <xf numFmtId="0" fontId="15" fillId="5" borderId="7" xfId="0" applyFont="1" applyFill="1" applyBorder="1" applyAlignment="1">
      <alignment horizontal="left" vertical="center" indent="1"/>
    </xf>
    <xf numFmtId="0" fontId="14" fillId="5" borderId="7" xfId="0" applyFont="1" applyFill="1" applyBorder="1" applyAlignment="1">
      <alignment horizontal="center" vertical="center" indent="1"/>
    </xf>
    <xf numFmtId="0" fontId="16" fillId="0" borderId="4" xfId="0" applyFont="1" applyBorder="1" applyAlignment="1">
      <alignment vertical="center" indent="1"/>
    </xf>
    <xf numFmtId="0" fontId="17" fillId="10" borderId="4" xfId="0" applyFont="1" applyFill="1" applyBorder="1" applyAlignment="1" applyProtection="1">
      <alignment vertical="center" indent="1"/>
      <protection locked="0"/>
    </xf>
    <xf numFmtId="0" fontId="17" fillId="11" borderId="2" xfId="0" applyFont="1" applyFill="1" applyBorder="1" applyAlignment="1">
      <alignment vertical="center" indent="1"/>
    </xf>
    <xf numFmtId="164" fontId="17" fillId="10" borderId="4" xfId="0" applyNumberFormat="1" applyFont="1" applyFill="1" applyBorder="1" applyAlignment="1" applyProtection="1">
      <alignment vertical="center" indent="1"/>
      <protection locked="0"/>
    </xf>
    <xf numFmtId="0" fontId="17" fillId="10" borderId="2" xfId="0" applyFont="1" applyFill="1" applyBorder="1" applyAlignment="1" applyProtection="1">
      <alignment vertical="center" indent="1"/>
      <protection locked="0"/>
    </xf>
    <xf numFmtId="0" fontId="18" fillId="0" borderId="0" xfId="0" applyFont="1" applyAlignment="1">
      <alignment vertical="center"/>
    </xf>
    <xf numFmtId="0" fontId="9" fillId="2" borderId="8" xfId="0" applyFont="1" applyFill="1" applyBorder="1" applyAlignment="1">
      <alignment horizontal="center" vertical="center" wrapText="1"/>
    </xf>
    <xf numFmtId="0" fontId="19" fillId="12" borderId="9" xfId="0" applyFont="1" applyFill="1" applyBorder="1" applyAlignment="1" applyProtection="1">
      <alignment vertical="center" indent="1"/>
      <protection locked="0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23" fillId="10" borderId="4" xfId="0" applyFont="1" applyFill="1" applyBorder="1" applyAlignment="1" applyProtection="1">
      <alignment horizontal="center" vertical="center"/>
      <protection locked="0"/>
    </xf>
    <xf numFmtId="0" fontId="10" fillId="10" borderId="10" xfId="0" applyFont="1" applyFill="1" applyBorder="1" applyAlignment="1" applyProtection="1">
      <alignment horizontal="left" vertical="center" wrapText="1"/>
      <protection locked="0"/>
    </xf>
    <xf numFmtId="0" fontId="10" fillId="10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 vertical="top"/>
    </xf>
    <xf numFmtId="0" fontId="25" fillId="0" borderId="16" xfId="0" applyFont="1" applyBorder="1" applyAlignment="1">
      <alignment horizontal="center" vertical="top"/>
    </xf>
    <xf numFmtId="0" fontId="4" fillId="5" borderId="17" xfId="0" applyFont="1" applyFill="1" applyBorder="1" applyAlignment="1">
      <alignment vertical="bottom" indent="1"/>
    </xf>
    <xf numFmtId="0" fontId="5" fillId="5" borderId="7" xfId="0" applyFont="1" applyFill="1" applyBorder="1" applyAlignment="1">
      <alignment horizontal="left" vertical="center" indent="1"/>
    </xf>
    <xf numFmtId="0" fontId="26" fillId="2" borderId="0" xfId="0" applyFont="1" applyFill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27" fillId="13" borderId="0" xfId="0" applyFont="1" applyFill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6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 indent="1"/>
    </xf>
    <xf numFmtId="0" fontId="8" fillId="11" borderId="4" xfId="0" applyFont="1" applyFill="1" applyBorder="1" applyAlignment="1">
      <alignment horizontal="center" vertical="center"/>
    </xf>
    <xf numFmtId="165" fontId="8" fillId="11" borderId="4" xfId="0" applyNumberFormat="1" applyFont="1" applyFill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0" fontId="18" fillId="0" borderId="0" xfId="0" applyFont="1"/>
    <xf numFmtId="0" fontId="30" fillId="0" borderId="4" xfId="0" applyFont="1" applyBorder="1" applyAlignment="1">
      <alignment horizontal="center" vertical="center"/>
    </xf>
    <xf numFmtId="164" fontId="31" fillId="10" borderId="10" xfId="0" applyNumberFormat="1" applyFont="1" applyFill="1" applyBorder="1" applyAlignment="1" applyProtection="1">
      <alignment vertical="center" wrapText="1"/>
      <protection locked="0"/>
    </xf>
    <xf numFmtId="0" fontId="31" fillId="10" borderId="10" xfId="0" applyFont="1" applyFill="1" applyBorder="1" applyAlignment="1" applyProtection="1">
      <alignment vertical="center" wrapText="1"/>
      <protection locked="0"/>
    </xf>
    <xf numFmtId="0" fontId="31" fillId="11" borderId="10" xfId="0" applyFont="1" applyFill="1" applyBorder="1" applyAlignment="1">
      <alignment horizontal="center" vertical="center"/>
    </xf>
    <xf numFmtId="164" fontId="31" fillId="14" borderId="10" xfId="0" applyNumberFormat="1" applyFont="1" applyFill="1" applyBorder="1" applyAlignment="1" applyProtection="1">
      <alignment vertical="center" wrapText="1"/>
      <protection locked="0"/>
    </xf>
    <xf numFmtId="0" fontId="31" fillId="14" borderId="10" xfId="0" applyFont="1" applyFill="1" applyBorder="1" applyAlignment="1" applyProtection="1">
      <alignment vertical="center" wrapText="1"/>
      <protection locked="0"/>
    </xf>
    <xf numFmtId="0" fontId="19" fillId="0" borderId="0" xfId="0" applyFont="1"/>
    <xf numFmtId="0" fontId="32" fillId="0" borderId="4" xfId="0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E2E2"/>
        </patternFill>
      </fill>
    </dxf>
    <dxf>
      <fill>
        <patternFill patternType="solid">
          <fgColor rgb="FF2E7D32"/>
        </patternFill>
      </fill>
    </dxf>
    <dxf>
      <fill>
        <patternFill patternType="solid">
          <fgColor rgb="FFC98A00"/>
        </patternFill>
      </fill>
    </dxf>
    <dxf>
      <fill>
        <patternFill patternType="solid">
          <fgColor rgb="FFC62828"/>
        </patternFill>
      </fill>
    </dxf>
    <dxf>
      <font>
        <color rgb="FF166534"/>
      </font>
      <fill>
        <patternFill patternType="solid">
          <fgColor rgb="FFDCFCE7"/>
        </patternFill>
      </fill>
    </dxf>
    <dxf>
      <font>
        <color rgb="FF92400E"/>
      </font>
      <fill>
        <patternFill patternType="solid">
          <fgColor rgb="FFFEF3C7"/>
        </patternFill>
      </fill>
    </dxf>
    <dxf>
      <font>
        <color rgb="FF991B1B"/>
      </font>
      <fill>
        <patternFill patternType="solid">
          <fgColor rgb="FFFEE2E2"/>
        </patternFill>
      </fill>
    </dxf>
    <dxf>
      <font>
        <color rgb="FF166534"/>
      </font>
      <fill>
        <patternFill patternType="solid">
          <fgColor rgb="FFDCFCE7"/>
        </patternFill>
      </fill>
    </dxf>
    <dxf>
      <font>
        <color rgb="FF92400E"/>
      </font>
      <fill>
        <patternFill patternType="solid">
          <fgColor rgb="FFFEF3C7"/>
        </patternFill>
      </fill>
    </dxf>
    <dxf>
      <font>
        <color rgb="FF991B1B"/>
      </font>
      <fill>
        <patternFill patternType="solid">
          <fgColor rgb="FFFEE2E2"/>
        </patternFill>
      </fill>
    </dxf>
    <dxf>
      <font>
        <b/>
        <color rgb="FF166534"/>
      </font>
    </dxf>
    <dxf>
      <font>
        <b/>
        <color rgb="FF991B1B"/>
      </font>
    </dxf>
    <dxf>
      <font>
        <b/>
        <color rgb="FFDC2626"/>
      </font>
    </dxf>
    <dxf>
      <font>
        <b/>
        <color rgb="FF166534"/>
      </font>
    </dxf>
    <dxf>
      <font>
        <b/>
        <color rgb="FF92400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2</xdr:col>
      <xdr:colOff>6115050</xdr:colOff>
      <xdr:row>0</xdr:row>
      <xdr:rowOff>38100</xdr:rowOff>
    </xdr:from>
    <xdr:ext cx="1333500" cy="51547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5</xdr:col>
      <xdr:colOff>1828800</xdr:colOff>
      <xdr:row>0</xdr:row>
      <xdr:rowOff>38100</xdr:rowOff>
    </xdr:from>
    <xdr:ext cx="1571625" cy="6075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4</xdr:col>
      <xdr:colOff>219075</xdr:colOff>
      <xdr:row>0</xdr:row>
      <xdr:rowOff>38100</xdr:rowOff>
    </xdr:from>
    <xdr:ext cx="1333500" cy="51547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absolute">
    <xdr:from>
      <xdr:col>11</xdr:col>
      <xdr:colOff>38100</xdr:colOff>
      <xdr:row>0</xdr:row>
      <xdr:rowOff>38100</xdr:rowOff>
    </xdr:from>
    <xdr:ext cx="1428750" cy="55228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absolute">
    <xdr:from>
      <xdr:col>10</xdr:col>
      <xdr:colOff>523875</xdr:colOff>
      <xdr:row>0</xdr:row>
      <xdr:rowOff>38100</xdr:rowOff>
    </xdr:from>
    <xdr:ext cx="1428750" cy="55228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6" customWidth="1"/>
    <col min="3" max="3" width="92" customWidth="1"/>
    <col min="4" max="4" width="7" customWidth="1"/>
    <col min="5" max="5" width="12" customWidth="1"/>
  </cols>
  <sheetData>
    <row r="1" ht="17" customHeight="1" spans="1:5" x14ac:dyDescent="0.25">
      <c r="A1" s="1" t="s">
        <v>0</v>
      </c>
      <c r="B1" s="1"/>
      <c r="C1" s="1"/>
      <c r="D1" s="2"/>
      <c r="E1" s="3"/>
    </row>
    <row r="2" ht="30" customHeight="1" spans="1:5" x14ac:dyDescent="0.25">
      <c r="A2" s="4" t="s">
        <v>1</v>
      </c>
      <c r="B2" s="4"/>
      <c r="C2" s="4"/>
      <c r="D2" s="2"/>
      <c r="E2" s="3"/>
    </row>
    <row r="3" ht="17" customHeight="1" spans="1:5" x14ac:dyDescent="0.25">
      <c r="A3" s="5" t="s">
        <v>2</v>
      </c>
      <c r="B3" s="5"/>
      <c r="C3" s="5"/>
      <c r="D3" s="2"/>
      <c r="E3" s="3"/>
    </row>
    <row r="4" ht="6" customHeight="1" x14ac:dyDescent="0.25"/>
    <row r="6" ht="14" customHeight="1" spans="2:3" x14ac:dyDescent="0.25">
      <c r="B6" s="6" t="s">
        <v>3</v>
      </c>
      <c r="C6" s="6"/>
    </row>
    <row r="7" ht="22" customHeight="1" spans="2:3" x14ac:dyDescent="0.25">
      <c r="B7" s="7" t="s">
        <v>4</v>
      </c>
      <c r="C7" s="7"/>
    </row>
    <row r="9" ht="20" customHeight="1" spans="2:3" x14ac:dyDescent="0.25">
      <c r="B9" s="8" t="s">
        <v>5</v>
      </c>
      <c r="C9" s="8"/>
    </row>
    <row r="10" ht="30" customHeight="1" spans="2:3" x14ac:dyDescent="0.25">
      <c r="B10" s="9">
        <v>1</v>
      </c>
      <c r="C10" s="10" t="s">
        <v>6</v>
      </c>
    </row>
    <row r="11" ht="30" customHeight="1" spans="2:3" x14ac:dyDescent="0.25">
      <c r="B11" s="9">
        <v>2</v>
      </c>
      <c r="C11" s="10" t="s">
        <v>7</v>
      </c>
    </row>
    <row r="12" ht="30" customHeight="1" spans="2:3" x14ac:dyDescent="0.25">
      <c r="B12" s="9">
        <v>3</v>
      </c>
      <c r="C12" s="10" t="s">
        <v>8</v>
      </c>
    </row>
    <row r="13" ht="30" customHeight="1" spans="2:3" x14ac:dyDescent="0.25">
      <c r="B13" s="9">
        <v>4</v>
      </c>
      <c r="C13" s="10" t="s">
        <v>9</v>
      </c>
    </row>
    <row r="14" ht="30" customHeight="1" spans="2:3" x14ac:dyDescent="0.25">
      <c r="B14" s="9">
        <v>5</v>
      </c>
      <c r="C14" s="10" t="s">
        <v>10</v>
      </c>
    </row>
    <row r="15" ht="30" customHeight="1" spans="2:3" x14ac:dyDescent="0.25">
      <c r="B15" s="9">
        <v>6</v>
      </c>
      <c r="C15" s="10" t="s">
        <v>11</v>
      </c>
    </row>
    <row r="16" ht="30" customHeight="1" spans="2:3" x14ac:dyDescent="0.25">
      <c r="B16" s="9">
        <v>7</v>
      </c>
      <c r="C16" s="10" t="s">
        <v>12</v>
      </c>
    </row>
    <row r="17" ht="30" customHeight="1" spans="2:3" x14ac:dyDescent="0.25">
      <c r="B17" s="9">
        <v>8</v>
      </c>
      <c r="C17" s="10" t="s">
        <v>13</v>
      </c>
    </row>
    <row r="19" ht="20" customHeight="1" spans="2:3" x14ac:dyDescent="0.25">
      <c r="B19" s="8" t="s">
        <v>14</v>
      </c>
      <c r="C19" s="8"/>
    </row>
    <row r="20" ht="20" customHeight="1" spans="2:3" x14ac:dyDescent="0.25">
      <c r="B20" s="11" t="s">
        <v>15</v>
      </c>
      <c r="C20" s="12" t="s">
        <v>16</v>
      </c>
    </row>
    <row r="21" ht="20" customHeight="1" spans="2:3" x14ac:dyDescent="0.25">
      <c r="B21" s="13" t="s">
        <v>17</v>
      </c>
      <c r="C21" s="12" t="s">
        <v>18</v>
      </c>
    </row>
    <row r="22" ht="20" customHeight="1" spans="2:3" x14ac:dyDescent="0.25">
      <c r="B22" s="14" t="s">
        <v>19</v>
      </c>
      <c r="C22" s="12" t="s">
        <v>20</v>
      </c>
    </row>
    <row r="24" ht="30" customHeight="1" spans="2:3" x14ac:dyDescent="0.25">
      <c r="B24" s="15" t="s">
        <v>21</v>
      </c>
      <c r="C24" s="15"/>
    </row>
    <row r="26" ht="20" customHeight="1" spans="1:5" x14ac:dyDescent="0.25">
      <c r="A26" s="16" t="s">
        <v>22</v>
      </c>
      <c r="B26" s="16"/>
      <c r="C26" s="16"/>
      <c r="D26" s="17" t="s">
        <v>23</v>
      </c>
      <c r="E26" s="17"/>
    </row>
  </sheetData>
  <sheetProtection sheet="1" algorithmName="SHA-512" hashValue="6CU5SDH6F7J3+9Se42JfkYh709nfEgdZ0YeUqkUd4kkXak8RP3xA9x0Y/Cm9F4c3RrrDtIx+tve8Frep9BUkIQ==" saltValue="mBKAIyd3lRft5ekwe8TpNw==" spinCount="100000"/>
  <mergeCells count="10">
    <mergeCell ref="A1:C1"/>
    <mergeCell ref="A2:C2"/>
    <mergeCell ref="A3:C3"/>
    <mergeCell ref="B6:C6"/>
    <mergeCell ref="B7:C7"/>
    <mergeCell ref="B9:C9"/>
    <mergeCell ref="B19:C19"/>
    <mergeCell ref="B24:C24"/>
    <mergeCell ref="A26:C26"/>
    <mergeCell ref="D26:E26"/>
  </mergeCells>
  <printOptions horizontalCentered="1"/>
  <pageMargins left="0.35" right="0.35" top="0.4" bottom="0.55" header="0.2" footer="0.25"/>
  <pageSetup paperSize="1" orientation="portrait" fitToWidth="1" fitToHeight="0"/>
  <headerFooter>
    <oddFooter>&amp;R&amp;8SOL-F01 · v1.2 · Pág.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workbookViewId="0" showGridLines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7" customWidth="1"/>
    <col min="4" max="4" width="56" customWidth="1"/>
    <col min="5" max="5" width="14" customWidth="1"/>
    <col min="6" max="6" width="42" customWidth="1"/>
  </cols>
  <sheetData>
    <row r="1" ht="17" customHeight="1" spans="1:7" x14ac:dyDescent="0.25">
      <c r="A1" s="1" t="s">
        <v>0</v>
      </c>
      <c r="B1" s="1"/>
      <c r="C1" s="1"/>
      <c r="D1" s="1"/>
      <c r="E1" s="2"/>
      <c r="F1" s="3"/>
      <c r="G1" s="3"/>
    </row>
    <row r="2" ht="30" customHeight="1" spans="1:7" x14ac:dyDescent="0.25">
      <c r="A2" s="4" t="s">
        <v>24</v>
      </c>
      <c r="B2" s="4"/>
      <c r="C2" s="4"/>
      <c r="D2" s="4"/>
      <c r="E2" s="2"/>
      <c r="F2" s="3"/>
      <c r="G2" s="3"/>
    </row>
    <row r="3" ht="17" customHeight="1" spans="1:7" x14ac:dyDescent="0.25">
      <c r="A3" s="5" t="s">
        <v>25</v>
      </c>
      <c r="B3" s="5"/>
      <c r="C3" s="5"/>
      <c r="D3" s="5"/>
      <c r="E3" s="2"/>
      <c r="F3" s="3"/>
      <c r="G3" s="3"/>
    </row>
    <row r="4" ht="6" customHeight="1" x14ac:dyDescent="0.25"/>
    <row r="5" ht="14" customHeight="1" spans="1:7" x14ac:dyDescent="0.25">
      <c r="A5" s="6" t="s">
        <v>26</v>
      </c>
      <c r="B5" s="6"/>
      <c r="D5" s="18" t="s">
        <v>27</v>
      </c>
      <c r="E5" s="19" t="s">
        <v>28</v>
      </c>
      <c r="F5" s="6" t="s">
        <v>29</v>
      </c>
      <c r="G5" s="6"/>
    </row>
    <row r="6" ht="22" customHeight="1" spans="1:7" x14ac:dyDescent="0.25">
      <c r="A6" s="20" t="s">
        <v>30</v>
      </c>
      <c r="B6" s="20"/>
      <c r="D6" s="21" t="s">
        <v>31</v>
      </c>
      <c r="E6" s="22">
        <v>33</v>
      </c>
      <c r="F6" s="20" t="s">
        <v>32</v>
      </c>
      <c r="G6" s="20"/>
    </row>
    <row r="7" ht="6" customHeight="1" x14ac:dyDescent="0.25"/>
    <row r="8" ht="20" customHeight="1" spans="1:7" x14ac:dyDescent="0.25">
      <c r="A8" s="8" t="s">
        <v>33</v>
      </c>
      <c r="B8" s="8"/>
      <c r="C8" s="8"/>
      <c r="D8" s="8"/>
      <c r="E8" s="8"/>
      <c r="F8" s="8"/>
      <c r="G8" s="8"/>
    </row>
    <row r="9" ht="21" customHeight="1" spans="1:7" x14ac:dyDescent="0.25">
      <c r="A9" s="23" t="s">
        <v>34</v>
      </c>
      <c r="B9" s="23"/>
      <c r="C9" s="24"/>
      <c r="D9" s="24"/>
      <c r="E9" s="23" t="s">
        <v>35</v>
      </c>
      <c r="F9" s="25">
        <f>IFERROR(VLOOKUP(C9,Listas!$A$2:$B$21,2,FALSE),"")</f>
      </c>
      <c r="G9" s="25"/>
    </row>
    <row r="10" ht="21" customHeight="1" spans="1:7" x14ac:dyDescent="0.25">
      <c r="A10" s="23" t="s">
        <v>36</v>
      </c>
      <c r="B10" s="23"/>
      <c r="C10" s="26"/>
      <c r="D10" s="26"/>
      <c r="E10" s="23" t="s">
        <v>37</v>
      </c>
      <c r="F10" s="27"/>
      <c r="G10" s="27"/>
    </row>
    <row r="11" ht="21" customHeight="1" spans="1:7" x14ac:dyDescent="0.25">
      <c r="A11" s="23" t="s">
        <v>38</v>
      </c>
      <c r="B11" s="23"/>
      <c r="C11" s="24"/>
      <c r="D11" s="24"/>
      <c r="E11" s="23" t="s">
        <v>39</v>
      </c>
      <c r="F11" s="27"/>
      <c r="G11" s="27"/>
    </row>
    <row r="12" ht="6" customHeight="1" x14ac:dyDescent="0.25"/>
    <row r="13" ht="18" customHeight="1" spans="1:7" x14ac:dyDescent="0.25">
      <c r="A13" s="28" t="s">
        <v>40</v>
      </c>
      <c r="B13" s="28"/>
      <c r="C13" s="28"/>
      <c r="D13" s="28"/>
      <c r="E13" s="28"/>
      <c r="F13" s="28"/>
      <c r="G13" s="28"/>
    </row>
    <row r="14" ht="22" customHeight="1" spans="1:7" x14ac:dyDescent="0.25">
      <c r="A14" s="29" t="s">
        <v>41</v>
      </c>
      <c r="B14" s="29" t="s">
        <v>42</v>
      </c>
      <c r="C14" s="29" t="s">
        <v>43</v>
      </c>
      <c r="D14" s="29" t="s">
        <v>44</v>
      </c>
      <c r="E14" s="29" t="s">
        <v>45</v>
      </c>
      <c r="F14" s="29" t="s">
        <v>46</v>
      </c>
      <c r="G14" s="29" t="s">
        <v>47</v>
      </c>
    </row>
    <row r="15" ht="19" customHeight="1" spans="1:7" x14ac:dyDescent="0.25">
      <c r="A15" s="30" t="s">
        <v>48</v>
      </c>
      <c r="B15" s="30"/>
      <c r="C15" s="30"/>
      <c r="D15" s="30"/>
      <c r="E15" s="30"/>
      <c r="F15" s="30"/>
      <c r="G15" s="30"/>
    </row>
    <row r="16" ht="30" customHeight="1" spans="1:7" x14ac:dyDescent="0.25">
      <c r="A16" s="31">
        <v>1</v>
      </c>
      <c r="B16" s="32" t="s">
        <v>49</v>
      </c>
      <c r="C16" s="33" t="s">
        <v>50</v>
      </c>
      <c r="D16" s="34" t="s">
        <v>51</v>
      </c>
      <c r="E16" s="35"/>
      <c r="F16" s="36"/>
      <c r="G16" s="37"/>
    </row>
    <row r="17" ht="30" customHeight="1" spans="1:7" x14ac:dyDescent="0.25">
      <c r="A17" s="31">
        <v>2</v>
      </c>
      <c r="B17" s="32" t="s">
        <v>49</v>
      </c>
      <c r="C17" s="33" t="s">
        <v>50</v>
      </c>
      <c r="D17" s="34" t="s">
        <v>52</v>
      </c>
      <c r="E17" s="35"/>
      <c r="F17" s="36"/>
      <c r="G17" s="37"/>
    </row>
    <row r="18" ht="30" customHeight="1" spans="1:7" x14ac:dyDescent="0.25">
      <c r="A18" s="31">
        <v>3</v>
      </c>
      <c r="B18" s="32" t="s">
        <v>49</v>
      </c>
      <c r="C18" s="38" t="s">
        <v>53</v>
      </c>
      <c r="D18" s="34" t="s">
        <v>54</v>
      </c>
      <c r="E18" s="35"/>
      <c r="F18" s="36"/>
      <c r="G18" s="37"/>
    </row>
    <row r="19" ht="30" customHeight="1" spans="1:7" x14ac:dyDescent="0.25">
      <c r="A19" s="31">
        <v>4</v>
      </c>
      <c r="B19" s="32" t="s">
        <v>49</v>
      </c>
      <c r="C19" s="38" t="s">
        <v>53</v>
      </c>
      <c r="D19" s="34" t="s">
        <v>55</v>
      </c>
      <c r="E19" s="35"/>
      <c r="F19" s="36"/>
      <c r="G19" s="37"/>
    </row>
    <row r="20" ht="30" customHeight="1" spans="1:7" x14ac:dyDescent="0.25">
      <c r="A20" s="31">
        <v>5</v>
      </c>
      <c r="B20" s="32" t="s">
        <v>49</v>
      </c>
      <c r="C20" s="39" t="s">
        <v>56</v>
      </c>
      <c r="D20" s="34" t="s">
        <v>57</v>
      </c>
      <c r="E20" s="35"/>
      <c r="F20" s="36"/>
      <c r="G20" s="37"/>
    </row>
    <row r="21" ht="19" customHeight="1" spans="1:7" x14ac:dyDescent="0.25">
      <c r="A21" s="30" t="s">
        <v>58</v>
      </c>
      <c r="B21" s="30"/>
      <c r="C21" s="30"/>
      <c r="D21" s="30"/>
      <c r="E21" s="30"/>
      <c r="F21" s="30"/>
      <c r="G21" s="30"/>
    </row>
    <row r="22" ht="30" customHeight="1" spans="1:7" x14ac:dyDescent="0.25">
      <c r="A22" s="31">
        <v>6</v>
      </c>
      <c r="B22" s="32" t="s">
        <v>59</v>
      </c>
      <c r="C22" s="33" t="s">
        <v>50</v>
      </c>
      <c r="D22" s="34" t="s">
        <v>60</v>
      </c>
      <c r="E22" s="35"/>
      <c r="F22" s="36"/>
      <c r="G22" s="37"/>
    </row>
    <row r="23" ht="30" customHeight="1" spans="1:7" x14ac:dyDescent="0.25">
      <c r="A23" s="31">
        <v>7</v>
      </c>
      <c r="B23" s="32" t="s">
        <v>59</v>
      </c>
      <c r="C23" s="38" t="s">
        <v>53</v>
      </c>
      <c r="D23" s="34" t="s">
        <v>61</v>
      </c>
      <c r="E23" s="35"/>
      <c r="F23" s="36"/>
      <c r="G23" s="37"/>
    </row>
    <row r="24" ht="30" customHeight="1" spans="1:7" x14ac:dyDescent="0.25">
      <c r="A24" s="31">
        <v>8</v>
      </c>
      <c r="B24" s="32" t="s">
        <v>59</v>
      </c>
      <c r="C24" s="39" t="s">
        <v>56</v>
      </c>
      <c r="D24" s="34" t="s">
        <v>62</v>
      </c>
      <c r="E24" s="35"/>
      <c r="F24" s="36"/>
      <c r="G24" s="37"/>
    </row>
    <row r="25" ht="30" customHeight="1" spans="1:7" x14ac:dyDescent="0.25">
      <c r="A25" s="31">
        <v>9</v>
      </c>
      <c r="B25" s="32" t="s">
        <v>59</v>
      </c>
      <c r="C25" s="39" t="s">
        <v>56</v>
      </c>
      <c r="D25" s="34" t="s">
        <v>63</v>
      </c>
      <c r="E25" s="35"/>
      <c r="F25" s="36"/>
      <c r="G25" s="37"/>
    </row>
    <row r="26" ht="19" customHeight="1" spans="1:7" x14ac:dyDescent="0.25">
      <c r="A26" s="30" t="s">
        <v>64</v>
      </c>
      <c r="B26" s="30"/>
      <c r="C26" s="30"/>
      <c r="D26" s="30"/>
      <c r="E26" s="30"/>
      <c r="F26" s="30"/>
      <c r="G26" s="30"/>
    </row>
    <row r="27" ht="30" customHeight="1" spans="1:7" x14ac:dyDescent="0.25">
      <c r="A27" s="31">
        <v>10</v>
      </c>
      <c r="B27" s="32" t="s">
        <v>65</v>
      </c>
      <c r="C27" s="33" t="s">
        <v>50</v>
      </c>
      <c r="D27" s="34" t="s">
        <v>66</v>
      </c>
      <c r="E27" s="35"/>
      <c r="F27" s="36"/>
      <c r="G27" s="37"/>
    </row>
    <row r="28" ht="30" customHeight="1" spans="1:7" x14ac:dyDescent="0.25">
      <c r="A28" s="31">
        <v>11</v>
      </c>
      <c r="B28" s="32" t="s">
        <v>65</v>
      </c>
      <c r="C28" s="33" t="s">
        <v>50</v>
      </c>
      <c r="D28" s="34" t="s">
        <v>67</v>
      </c>
      <c r="E28" s="35"/>
      <c r="F28" s="36"/>
      <c r="G28" s="37"/>
    </row>
    <row r="29" ht="30" customHeight="1" spans="1:7" x14ac:dyDescent="0.25">
      <c r="A29" s="31">
        <v>12</v>
      </c>
      <c r="B29" s="32" t="s">
        <v>65</v>
      </c>
      <c r="C29" s="38" t="s">
        <v>53</v>
      </c>
      <c r="D29" s="34" t="s">
        <v>68</v>
      </c>
      <c r="E29" s="35"/>
      <c r="F29" s="36"/>
      <c r="G29" s="37"/>
    </row>
    <row r="30" ht="30" customHeight="1" spans="1:7" x14ac:dyDescent="0.25">
      <c r="A30" s="31">
        <v>13</v>
      </c>
      <c r="B30" s="32" t="s">
        <v>65</v>
      </c>
      <c r="C30" s="39" t="s">
        <v>56</v>
      </c>
      <c r="D30" s="34" t="s">
        <v>69</v>
      </c>
      <c r="E30" s="35"/>
      <c r="F30" s="36"/>
      <c r="G30" s="37"/>
    </row>
    <row r="31" ht="19" customHeight="1" spans="1:7" x14ac:dyDescent="0.25">
      <c r="A31" s="30" t="s">
        <v>70</v>
      </c>
      <c r="B31" s="30"/>
      <c r="C31" s="30"/>
      <c r="D31" s="30"/>
      <c r="E31" s="30"/>
      <c r="F31" s="30"/>
      <c r="G31" s="30"/>
    </row>
    <row r="32" ht="30" customHeight="1" spans="1:7" x14ac:dyDescent="0.25">
      <c r="A32" s="31">
        <v>14</v>
      </c>
      <c r="B32" s="32" t="s">
        <v>71</v>
      </c>
      <c r="C32" s="33" t="s">
        <v>50</v>
      </c>
      <c r="D32" s="34" t="s">
        <v>72</v>
      </c>
      <c r="E32" s="35"/>
      <c r="F32" s="36"/>
      <c r="G32" s="37"/>
    </row>
    <row r="33" ht="30" customHeight="1" spans="1:7" x14ac:dyDescent="0.25">
      <c r="A33" s="31">
        <v>15</v>
      </c>
      <c r="B33" s="32" t="s">
        <v>71</v>
      </c>
      <c r="C33" s="33" t="s">
        <v>50</v>
      </c>
      <c r="D33" s="34" t="s">
        <v>73</v>
      </c>
      <c r="E33" s="35"/>
      <c r="F33" s="36"/>
      <c r="G33" s="37"/>
    </row>
    <row r="34" ht="30" customHeight="1" spans="1:7" x14ac:dyDescent="0.25">
      <c r="A34" s="31">
        <v>16</v>
      </c>
      <c r="B34" s="32" t="s">
        <v>71</v>
      </c>
      <c r="C34" s="38" t="s">
        <v>53</v>
      </c>
      <c r="D34" s="34" t="s">
        <v>74</v>
      </c>
      <c r="E34" s="35"/>
      <c r="F34" s="36"/>
      <c r="G34" s="37"/>
    </row>
    <row r="35" ht="30" customHeight="1" spans="1:7" x14ac:dyDescent="0.25">
      <c r="A35" s="31">
        <v>17</v>
      </c>
      <c r="B35" s="32" t="s">
        <v>71</v>
      </c>
      <c r="C35" s="38" t="s">
        <v>53</v>
      </c>
      <c r="D35" s="34" t="s">
        <v>75</v>
      </c>
      <c r="E35" s="35"/>
      <c r="F35" s="36"/>
      <c r="G35" s="37"/>
    </row>
    <row r="36" ht="30" customHeight="1" spans="1:7" x14ac:dyDescent="0.25">
      <c r="A36" s="31">
        <v>18</v>
      </c>
      <c r="B36" s="32" t="s">
        <v>71</v>
      </c>
      <c r="C36" s="39" t="s">
        <v>56</v>
      </c>
      <c r="D36" s="34" t="s">
        <v>76</v>
      </c>
      <c r="E36" s="35"/>
      <c r="F36" s="36"/>
      <c r="G36" s="37"/>
    </row>
    <row r="37" ht="19" customHeight="1" spans="1:7" x14ac:dyDescent="0.25">
      <c r="A37" s="30" t="s">
        <v>77</v>
      </c>
      <c r="B37" s="30"/>
      <c r="C37" s="30"/>
      <c r="D37" s="30"/>
      <c r="E37" s="30"/>
      <c r="F37" s="30"/>
      <c r="G37" s="30"/>
    </row>
    <row r="38" ht="30" customHeight="1" spans="1:7" x14ac:dyDescent="0.25">
      <c r="A38" s="31">
        <v>19</v>
      </c>
      <c r="B38" s="32" t="s">
        <v>78</v>
      </c>
      <c r="C38" s="33" t="s">
        <v>50</v>
      </c>
      <c r="D38" s="34" t="s">
        <v>79</v>
      </c>
      <c r="E38" s="35"/>
      <c r="F38" s="36"/>
      <c r="G38" s="37"/>
    </row>
    <row r="39" ht="30" customHeight="1" spans="1:7" x14ac:dyDescent="0.25">
      <c r="A39" s="31">
        <v>20</v>
      </c>
      <c r="B39" s="32" t="s">
        <v>78</v>
      </c>
      <c r="C39" s="39" t="s">
        <v>56</v>
      </c>
      <c r="D39" s="34" t="s">
        <v>80</v>
      </c>
      <c r="E39" s="35"/>
      <c r="F39" s="36"/>
      <c r="G39" s="37"/>
    </row>
    <row r="40" ht="19" customHeight="1" spans="1:7" x14ac:dyDescent="0.25">
      <c r="A40" s="30" t="s">
        <v>81</v>
      </c>
      <c r="B40" s="30"/>
      <c r="C40" s="30"/>
      <c r="D40" s="30"/>
      <c r="E40" s="30"/>
      <c r="F40" s="30"/>
      <c r="G40" s="30"/>
    </row>
    <row r="41" ht="30" customHeight="1" spans="1:7" x14ac:dyDescent="0.25">
      <c r="A41" s="31">
        <v>21</v>
      </c>
      <c r="B41" s="32" t="s">
        <v>82</v>
      </c>
      <c r="C41" s="33" t="s">
        <v>50</v>
      </c>
      <c r="D41" s="34" t="s">
        <v>83</v>
      </c>
      <c r="E41" s="35"/>
      <c r="F41" s="36"/>
      <c r="G41" s="37"/>
    </row>
    <row r="42" ht="30" customHeight="1" spans="1:7" x14ac:dyDescent="0.25">
      <c r="A42" s="31">
        <v>22</v>
      </c>
      <c r="B42" s="32" t="s">
        <v>82</v>
      </c>
      <c r="C42" s="38" t="s">
        <v>53</v>
      </c>
      <c r="D42" s="34" t="s">
        <v>84</v>
      </c>
      <c r="E42" s="35"/>
      <c r="F42" s="36"/>
      <c r="G42" s="37"/>
    </row>
    <row r="43" ht="30" customHeight="1" spans="1:7" x14ac:dyDescent="0.25">
      <c r="A43" s="31">
        <v>23</v>
      </c>
      <c r="B43" s="32" t="s">
        <v>82</v>
      </c>
      <c r="C43" s="39" t="s">
        <v>56</v>
      </c>
      <c r="D43" s="34" t="s">
        <v>85</v>
      </c>
      <c r="E43" s="35"/>
      <c r="F43" s="36"/>
      <c r="G43" s="37"/>
    </row>
    <row r="44" ht="19" customHeight="1" spans="1:7" x14ac:dyDescent="0.25">
      <c r="A44" s="30" t="s">
        <v>86</v>
      </c>
      <c r="B44" s="30"/>
      <c r="C44" s="30"/>
      <c r="D44" s="30"/>
      <c r="E44" s="30"/>
      <c r="F44" s="30"/>
      <c r="G44" s="30"/>
    </row>
    <row r="45" ht="30" customHeight="1" spans="1:7" x14ac:dyDescent="0.25">
      <c r="A45" s="31">
        <v>24</v>
      </c>
      <c r="B45" s="32" t="s">
        <v>87</v>
      </c>
      <c r="C45" s="33" t="s">
        <v>50</v>
      </c>
      <c r="D45" s="34" t="s">
        <v>88</v>
      </c>
      <c r="E45" s="35"/>
      <c r="F45" s="36"/>
      <c r="G45" s="37"/>
    </row>
    <row r="46" ht="30" customHeight="1" spans="1:7" x14ac:dyDescent="0.25">
      <c r="A46" s="31">
        <v>25</v>
      </c>
      <c r="B46" s="32" t="s">
        <v>87</v>
      </c>
      <c r="C46" s="33" t="s">
        <v>50</v>
      </c>
      <c r="D46" s="34" t="s">
        <v>89</v>
      </c>
      <c r="E46" s="35"/>
      <c r="F46" s="36"/>
      <c r="G46" s="37"/>
    </row>
    <row r="47" ht="30" customHeight="1" spans="1:7" x14ac:dyDescent="0.25">
      <c r="A47" s="31">
        <v>26</v>
      </c>
      <c r="B47" s="32" t="s">
        <v>87</v>
      </c>
      <c r="C47" s="33" t="s">
        <v>50</v>
      </c>
      <c r="D47" s="34" t="s">
        <v>90</v>
      </c>
      <c r="E47" s="35"/>
      <c r="F47" s="36"/>
      <c r="G47" s="37"/>
    </row>
    <row r="48" ht="30" customHeight="1" spans="1:7" x14ac:dyDescent="0.25">
      <c r="A48" s="31">
        <v>27</v>
      </c>
      <c r="B48" s="32" t="s">
        <v>87</v>
      </c>
      <c r="C48" s="38" t="s">
        <v>53</v>
      </c>
      <c r="D48" s="34" t="s">
        <v>91</v>
      </c>
      <c r="E48" s="35"/>
      <c r="F48" s="36"/>
      <c r="G48" s="37"/>
    </row>
    <row r="49" ht="30" customHeight="1" spans="1:7" x14ac:dyDescent="0.25">
      <c r="A49" s="31">
        <v>28</v>
      </c>
      <c r="B49" s="32" t="s">
        <v>87</v>
      </c>
      <c r="C49" s="39" t="s">
        <v>56</v>
      </c>
      <c r="D49" s="34" t="s">
        <v>92</v>
      </c>
      <c r="E49" s="35"/>
      <c r="F49" s="36"/>
      <c r="G49" s="37"/>
    </row>
    <row r="50" ht="19" customHeight="1" spans="1:7" x14ac:dyDescent="0.25">
      <c r="A50" s="30" t="s">
        <v>93</v>
      </c>
      <c r="B50" s="30"/>
      <c r="C50" s="30"/>
      <c r="D50" s="30"/>
      <c r="E50" s="30"/>
      <c r="F50" s="30"/>
      <c r="G50" s="30"/>
    </row>
    <row r="51" ht="30" customHeight="1" spans="1:7" x14ac:dyDescent="0.25">
      <c r="A51" s="31">
        <v>29</v>
      </c>
      <c r="B51" s="32" t="s">
        <v>94</v>
      </c>
      <c r="C51" s="33" t="s">
        <v>50</v>
      </c>
      <c r="D51" s="34" t="s">
        <v>95</v>
      </c>
      <c r="E51" s="35"/>
      <c r="F51" s="36"/>
      <c r="G51" s="37"/>
    </row>
    <row r="52" ht="30" customHeight="1" spans="1:7" x14ac:dyDescent="0.25">
      <c r="A52" s="31">
        <v>30</v>
      </c>
      <c r="B52" s="32" t="s">
        <v>94</v>
      </c>
      <c r="C52" s="33" t="s">
        <v>50</v>
      </c>
      <c r="D52" s="34" t="s">
        <v>96</v>
      </c>
      <c r="E52" s="35"/>
      <c r="F52" s="36"/>
      <c r="G52" s="37"/>
    </row>
    <row r="53" ht="30" customHeight="1" spans="1:7" x14ac:dyDescent="0.25">
      <c r="A53" s="31">
        <v>31</v>
      </c>
      <c r="B53" s="32" t="s">
        <v>94</v>
      </c>
      <c r="C53" s="38" t="s">
        <v>53</v>
      </c>
      <c r="D53" s="34" t="s">
        <v>97</v>
      </c>
      <c r="E53" s="35"/>
      <c r="F53" s="36"/>
      <c r="G53" s="37"/>
    </row>
    <row r="54" ht="30" customHeight="1" spans="1:7" x14ac:dyDescent="0.25">
      <c r="A54" s="31">
        <v>32</v>
      </c>
      <c r="B54" s="32" t="s">
        <v>94</v>
      </c>
      <c r="C54" s="38" t="s">
        <v>53</v>
      </c>
      <c r="D54" s="34" t="s">
        <v>98</v>
      </c>
      <c r="E54" s="35"/>
      <c r="F54" s="36"/>
      <c r="G54" s="37"/>
    </row>
    <row r="55" ht="30" customHeight="1" spans="1:7" x14ac:dyDescent="0.25">
      <c r="A55" s="31">
        <v>33</v>
      </c>
      <c r="B55" s="32" t="s">
        <v>94</v>
      </c>
      <c r="C55" s="39" t="s">
        <v>56</v>
      </c>
      <c r="D55" s="34" t="s">
        <v>99</v>
      </c>
      <c r="E55" s="35"/>
      <c r="F55" s="36"/>
      <c r="G55" s="37"/>
    </row>
    <row r="58" ht="46" customHeight="1" spans="1:7" x14ac:dyDescent="0.25">
      <c r="A58" s="40"/>
      <c r="B58" s="40"/>
      <c r="D58" s="41"/>
      <c r="F58" s="40"/>
      <c r="G58" s="40"/>
    </row>
    <row r="59" ht="16" customHeight="1" spans="1:7" x14ac:dyDescent="0.25">
      <c r="A59" s="42" t="s">
        <v>100</v>
      </c>
      <c r="B59" s="42"/>
      <c r="D59" s="43" t="s">
        <v>100</v>
      </c>
      <c r="F59" s="42" t="s">
        <v>100</v>
      </c>
      <c r="G59" s="42"/>
    </row>
    <row r="60" ht="13" customHeight="1" spans="1:7" x14ac:dyDescent="0.25">
      <c r="A60" s="44" t="s">
        <v>101</v>
      </c>
      <c r="B60" s="44"/>
      <c r="D60" s="45" t="s">
        <v>102</v>
      </c>
      <c r="F60" s="44" t="s">
        <v>103</v>
      </c>
      <c r="G60" s="44"/>
    </row>
    <row r="62" ht="20" customHeight="1" spans="1:7" x14ac:dyDescent="0.25">
      <c r="A62" s="16" t="s">
        <v>22</v>
      </c>
      <c r="B62" s="16"/>
      <c r="C62" s="16"/>
      <c r="D62" s="16"/>
      <c r="E62" s="17" t="s">
        <v>23</v>
      </c>
      <c r="F62" s="17"/>
      <c r="G62" s="17"/>
    </row>
  </sheetData>
  <sheetProtection sheet="1" algorithmName="SHA-512" hashValue="wovhcYxtnvXS736VzM14vzTfbAMf46JT6XQw180NI4dS26vbPN2FAiiGCSdwbaUMDjmgb2K3I4kwUY8RQ0hjgQ==" saltValue="MkKXATuOb1vpm5IVQNwY2g==" spinCount="100000"/>
  <mergeCells count="34">
    <mergeCell ref="A1:D1"/>
    <mergeCell ref="A2:D2"/>
    <mergeCell ref="A3:D3"/>
    <mergeCell ref="A5:B5"/>
    <mergeCell ref="F5:G5"/>
    <mergeCell ref="A6:B6"/>
    <mergeCell ref="F6:G6"/>
    <mergeCell ref="A8:G8"/>
    <mergeCell ref="A9:B9"/>
    <mergeCell ref="C9:D9"/>
    <mergeCell ref="F9:G9"/>
    <mergeCell ref="A10:B10"/>
    <mergeCell ref="C10:D10"/>
    <mergeCell ref="F10:G10"/>
    <mergeCell ref="A11:B11"/>
    <mergeCell ref="C11:D11"/>
    <mergeCell ref="F11:G11"/>
    <mergeCell ref="A13:G13"/>
    <mergeCell ref="A15:G15"/>
    <mergeCell ref="A21:G21"/>
    <mergeCell ref="A26:G26"/>
    <mergeCell ref="A31:G31"/>
    <mergeCell ref="A37:G37"/>
    <mergeCell ref="A40:G40"/>
    <mergeCell ref="A44:G44"/>
    <mergeCell ref="A50:G50"/>
    <mergeCell ref="A58:B58"/>
    <mergeCell ref="F58:G58"/>
    <mergeCell ref="A59:B59"/>
    <mergeCell ref="F59:G59"/>
    <mergeCell ref="A60:B60"/>
    <mergeCell ref="F60:G60"/>
    <mergeCell ref="A62:D62"/>
    <mergeCell ref="E62:G62"/>
  </mergeCells>
  <conditionalFormatting sqref="E15:E55">
    <cfRule type="cellIs" dxfId="0" priority="1" operator="equal">
      <formula>2</formula>
    </cfRule>
    <cfRule type="cellIs" dxfId="1" priority="2" operator="equal">
      <formula>1</formula>
    </cfRule>
    <cfRule type="expression" dxfId="2" priority="3">
      <formula>AND(E15&lt;&gt;"",E15=0)</formula>
    </cfRule>
  </conditionalFormatting>
  <dataValidations count="19">
    <dataValidation type="date" operator="greaterThan" allowBlank="1" showErrorMessage="1" error="Escribe una fecha válida (dd/mm/aaaa)." sqref="C10">
      <formula1>44927.25</formula1>
    </dataValidation>
    <dataValidation type="list" allowBlank="1" showErrorMessage="1" errorTitle="Campus" error="Elige el campus de la lista." sqref="C9">
      <formula1>Listas!$A$2:$A$21</formula1>
    </dataValidation>
    <dataValidation type="list" allowBlank="1" showErrorMessage="1" error="Usa 2, 1, 0 o NA." sqref="E16:E20">
      <formula1>"2,1,0,NA"</formula1>
    </dataValidation>
    <dataValidation type="list" allowBlank="1" showErrorMessage="1" error="Usa 2, 1, 0 o NA." sqref="E22:E25">
      <formula1>"2,1,0,NA"</formula1>
    </dataValidation>
    <dataValidation type="list" allowBlank="1" showErrorMessage="1" error="Usa 2, 1, 0 o NA." sqref="E27:E30">
      <formula1>"2,1,0,NA"</formula1>
    </dataValidation>
    <dataValidation type="list" allowBlank="1" showErrorMessage="1" error="Usa 2, 1, 0 o NA." sqref="E32:E36">
      <formula1>"2,1,0,NA"</formula1>
    </dataValidation>
    <dataValidation type="list" allowBlank="1" showErrorMessage="1" error="Usa 2, 1, 0 o NA." sqref="E38:E39">
      <formula1>"2,1,0,NA"</formula1>
    </dataValidation>
    <dataValidation type="list" allowBlank="1" showErrorMessage="1" error="Usa 2, 1, 0 o NA." sqref="E41:E43">
      <formula1>"2,1,0,NA"</formula1>
    </dataValidation>
    <dataValidation type="list" allowBlank="1" showErrorMessage="1" error="Usa 2, 1, 0 o NA." sqref="E45:E49">
      <formula1>"2,1,0,NA"</formula1>
    </dataValidation>
    <dataValidation type="list" allowBlank="1" showErrorMessage="1" error="Usa 2, 1, 0 o NA." sqref="E51:E55">
      <formula1>"2,1,0,NA"</formula1>
    </dataValidation>
    <dataValidation type="list" allowBlank="1" showErrorMessage="1" error="Elige el tipo de la lista." sqref="F10">
      <formula1>Listas!$D$2:$D$6</formula1>
    </dataValidation>
    <dataValidation type="list" allowBlank="1" sqref="G16:G20">
      <formula1>"Sí,No"</formula1>
    </dataValidation>
    <dataValidation type="list" allowBlank="1" sqref="G22:G25">
      <formula1>"Sí,No"</formula1>
    </dataValidation>
    <dataValidation type="list" allowBlank="1" sqref="G27:G30">
      <formula1>"Sí,No"</formula1>
    </dataValidation>
    <dataValidation type="list" allowBlank="1" sqref="G32:G36">
      <formula1>"Sí,No"</formula1>
    </dataValidation>
    <dataValidation type="list" allowBlank="1" sqref="G38:G39">
      <formula1>"Sí,No"</formula1>
    </dataValidation>
    <dataValidation type="list" allowBlank="1" sqref="G41:G43">
      <formula1>"Sí,No"</formula1>
    </dataValidation>
    <dataValidation type="list" allowBlank="1" sqref="G45:G49">
      <formula1>"Sí,No"</formula1>
    </dataValidation>
    <dataValidation type="list" allowBlank="1" sqref="G51:G55">
      <formula1>"Sí,No"</formula1>
    </dataValidation>
  </dataValidations>
  <printOptions horizontalCentered="1"/>
  <pageMargins left="0.35" right="0.35" top="0.4" bottom="0.55" header="0.2" footer="0.25"/>
  <pageSetup paperSize="1" orientation="portrait" fitToWidth="1" fitToHeight="0"/>
  <headerFooter>
    <oddFooter>&amp;R&amp;8SOL-F01 · v1.2 · Pág.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6" customWidth="1"/>
    <col min="5" max="5" width="24" customWidth="1"/>
  </cols>
  <sheetData>
    <row r="1" ht="17" customHeight="1" spans="1:5" x14ac:dyDescent="0.25">
      <c r="A1" s="1" t="s">
        <v>0</v>
      </c>
      <c r="B1" s="1"/>
      <c r="C1" s="1"/>
      <c r="D1" s="2"/>
      <c r="E1" s="3"/>
    </row>
    <row r="2" ht="30" customHeight="1" spans="1:5" x14ac:dyDescent="0.25">
      <c r="A2" s="4" t="s">
        <v>104</v>
      </c>
      <c r="B2" s="4"/>
      <c r="C2" s="4"/>
      <c r="D2" s="2"/>
      <c r="E2" s="3"/>
    </row>
    <row r="3" ht="17" customHeight="1" spans="1:5" x14ac:dyDescent="0.25">
      <c r="A3" s="5" t="s">
        <v>105</v>
      </c>
      <c r="B3" s="5"/>
      <c r="C3" s="5"/>
      <c r="D3" s="2"/>
      <c r="E3" s="3"/>
    </row>
    <row r="4" ht="6" customHeight="1" x14ac:dyDescent="0.25"/>
    <row r="5" ht="14" customHeight="1" spans="1:5" x14ac:dyDescent="0.25">
      <c r="A5" s="19" t="s">
        <v>106</v>
      </c>
      <c r="B5" s="6" t="s">
        <v>107</v>
      </c>
      <c r="C5" s="6"/>
      <c r="D5" s="46" t="s">
        <v>108</v>
      </c>
      <c r="E5" s="46"/>
    </row>
    <row r="6" ht="22" customHeight="1" spans="1:5" x14ac:dyDescent="0.25">
      <c r="A6" s="47">
        <f>IF(Inspección!C9="","—",Inspección!C9)</f>
      </c>
      <c r="B6" s="7">
        <f>IF(Inspección!C10="","—",TEXT(Inspección!C10,"dd/mm/yyyy"))</f>
      </c>
      <c r="C6" s="7"/>
      <c r="D6" s="7">
        <f>IF(Inspección!F10="","—",Inspección!F10)</f>
      </c>
      <c r="E6" s="7"/>
    </row>
    <row r="7" ht="8" customHeight="1" x14ac:dyDescent="0.25"/>
    <row r="8" ht="16" customHeight="1" spans="1:5" x14ac:dyDescent="0.25">
      <c r="A8" s="48" t="s">
        <v>109</v>
      </c>
      <c r="B8" s="49" t="s">
        <v>110</v>
      </c>
      <c r="C8" s="49"/>
      <c r="D8" s="50">
        <f>IF(B9="","Sin calificar",IF(B9&gt;=85,"VERDE · Campus SOL",IF(B9&gt;=70,"ÁMBAR · En mejora","ROJO · Plan de acción")))</f>
      </c>
      <c r="E8" s="50"/>
    </row>
    <row r="9" ht="40" customHeight="1" spans="1:5" x14ac:dyDescent="0.25">
      <c r="A9" s="48"/>
      <c r="B9" s="51">
        <f>IFERROR(ROUND(SUM(Inspección!$E$15:$E$55)/(2*COUNT(Inspección!$E$15:$E$55))*100,1),"")</f>
      </c>
      <c r="C9" s="51"/>
      <c r="D9" s="50"/>
      <c r="E9" s="50"/>
    </row>
    <row r="10" ht="16" customHeight="1" spans="1:5" x14ac:dyDescent="0.25">
      <c r="A10" s="48"/>
      <c r="B10" s="52">
        <f>33-COUNT(Inspección!$E$15:$E$55)-COUNTIF(Inspección!$E$15:$E$55,"NA")&amp;" de 33 criterios sin calificar"</f>
      </c>
      <c r="C10" s="52"/>
      <c r="D10" s="50"/>
      <c r="E10" s="50"/>
    </row>
    <row r="12" ht="20" customHeight="1" spans="1:5" x14ac:dyDescent="0.25">
      <c r="A12" s="8" t="s">
        <v>111</v>
      </c>
      <c r="B12" s="8"/>
      <c r="C12" s="8"/>
      <c r="D12" s="8"/>
      <c r="E12" s="8"/>
    </row>
    <row r="13" ht="18" customHeight="1" spans="1:5" x14ac:dyDescent="0.25">
      <c r="A13" s="29" t="s">
        <v>42</v>
      </c>
      <c r="B13" s="29" t="s">
        <v>112</v>
      </c>
      <c r="C13" s="29" t="s">
        <v>113</v>
      </c>
      <c r="D13" s="29" t="s">
        <v>114</v>
      </c>
      <c r="E13" s="29" t="s">
        <v>115</v>
      </c>
    </row>
    <row r="14" ht="18" customHeight="1" spans="1:5" x14ac:dyDescent="0.25">
      <c r="A14" s="53" t="s">
        <v>49</v>
      </c>
      <c r="B14" s="54">
        <f>SUMIFS(Inspección!$E$15:$E$55,Inspección!$B$15:$B$55,"Aulas")</f>
      </c>
      <c r="C14" s="54">
        <f>2*COUNTIFS(Inspección!$B$15:$B$55,"Aulas",Inspección!$E$15:$E$55,"&gt;=0")</f>
      </c>
      <c r="D14" s="55">
        <f>IF(C14=0,"",B14/C14)</f>
      </c>
      <c r="E14" s="56">
        <f>IF(D14="","—",IF(D14&gt;=0.85,"Verde",IF(D14&gt;=0.7,"Ámbar","Rojo")))</f>
      </c>
    </row>
    <row r="15" ht="18" customHeight="1" spans="1:5" x14ac:dyDescent="0.25">
      <c r="A15" s="57" t="s">
        <v>59</v>
      </c>
      <c r="B15" s="58">
        <f>SUMIFS(Inspección!$E$15:$E$55,Inspección!$B$15:$B$55,"Baños")</f>
      </c>
      <c r="C15" s="58">
        <f>2*COUNTIFS(Inspección!$B$15:$B$55,"Baños",Inspección!$E$15:$E$55,"&gt;=0")</f>
      </c>
      <c r="D15" s="59">
        <f>IF(C15=0,"",B15/C15)</f>
      </c>
      <c r="E15" s="60">
        <f>IF(D15="","—",IF(D15&gt;=0.85,"Verde",IF(D15&gt;=0.7,"Ámbar","Rojo")))</f>
      </c>
    </row>
    <row r="16" ht="18" customHeight="1" spans="1:5" x14ac:dyDescent="0.25">
      <c r="A16" s="53" t="s">
        <v>65</v>
      </c>
      <c r="B16" s="54">
        <f>SUMIFS(Inspección!$E$15:$E$55,Inspección!$B$15:$B$55,"Cocina y cafetería")</f>
      </c>
      <c r="C16" s="54">
        <f>2*COUNTIFS(Inspección!$B$15:$B$55,"Cocina y cafetería",Inspección!$E$15:$E$55,"&gt;=0")</f>
      </c>
      <c r="D16" s="55">
        <f>IF(C16=0,"",B16/C16)</f>
      </c>
      <c r="E16" s="56">
        <f>IF(D16="","—",IF(D16&gt;=0.85,"Verde",IF(D16&gt;=0.7,"Ámbar","Rojo")))</f>
      </c>
    </row>
    <row r="17" ht="18" customHeight="1" spans="1:5" x14ac:dyDescent="0.25">
      <c r="A17" s="57" t="s">
        <v>71</v>
      </c>
      <c r="B17" s="58">
        <f>SUMIFS(Inspección!$E$15:$E$55,Inspección!$B$15:$B$55,"Bodegas")</f>
      </c>
      <c r="C17" s="58">
        <f>2*COUNTIFS(Inspección!$B$15:$B$55,"Bodegas",Inspección!$E$15:$E$55,"&gt;=0")</f>
      </c>
      <c r="D17" s="59">
        <f>IF(C17=0,"",B17/C17)</f>
      </c>
      <c r="E17" s="60">
        <f>IF(D17="","—",IF(D17&gt;=0.85,"Verde",IF(D17&gt;=0.7,"Ámbar","Rojo")))</f>
      </c>
    </row>
    <row r="18" ht="18" customHeight="1" spans="1:5" x14ac:dyDescent="0.25">
      <c r="A18" s="53" t="s">
        <v>78</v>
      </c>
      <c r="B18" s="54">
        <f>SUMIFS(Inspección!$E$15:$E$55,Inspección!$B$15:$B$55,"Cuartos técnicos")</f>
      </c>
      <c r="C18" s="54">
        <f>2*COUNTIFS(Inspección!$B$15:$B$55,"Cuartos técnicos",Inspección!$E$15:$E$55,"&gt;=0")</f>
      </c>
      <c r="D18" s="55">
        <f>IF(C18=0,"",B18/C18)</f>
      </c>
      <c r="E18" s="56">
        <f>IF(D18="","—",IF(D18&gt;=0.85,"Verde",IF(D18&gt;=0.7,"Ámbar","Rojo")))</f>
      </c>
    </row>
    <row r="19" ht="18" customHeight="1" spans="1:5" x14ac:dyDescent="0.25">
      <c r="A19" s="57" t="s">
        <v>82</v>
      </c>
      <c r="B19" s="58">
        <f>SUMIFS(Inspección!$E$15:$E$55,Inspección!$B$15:$B$55,"Patios y rutas de evacuación")</f>
      </c>
      <c r="C19" s="58">
        <f>2*COUNTIFS(Inspección!$B$15:$B$55,"Patios y rutas de evacuación",Inspección!$E$15:$E$55,"&gt;=0")</f>
      </c>
      <c r="D19" s="59">
        <f>IF(C19=0,"",B19/C19)</f>
      </c>
      <c r="E19" s="60">
        <f>IF(D19="","—",IF(D19&gt;=0.85,"Verde",IF(D19&gt;=0.7,"Ámbar","Rojo")))</f>
      </c>
    </row>
    <row r="20" ht="18" customHeight="1" spans="1:5" x14ac:dyDescent="0.25">
      <c r="A20" s="53" t="s">
        <v>87</v>
      </c>
      <c r="B20" s="54">
        <f>SUMIFS(Inspección!$E$15:$E$55,Inspección!$B$15:$B$55,"Oficinas")</f>
      </c>
      <c r="C20" s="54">
        <f>2*COUNTIFS(Inspección!$B$15:$B$55,"Oficinas",Inspección!$E$15:$E$55,"&gt;=0")</f>
      </c>
      <c r="D20" s="55">
        <f>IF(C20=0,"",B20/C20)</f>
      </c>
      <c r="E20" s="56">
        <f>IF(D20="","—",IF(D20&gt;=0.85,"Verde",IF(D20&gt;=0.7,"Ámbar","Rojo")))</f>
      </c>
    </row>
    <row r="21" ht="18" customHeight="1" spans="1:5" x14ac:dyDescent="0.25">
      <c r="A21" s="57" t="s">
        <v>94</v>
      </c>
      <c r="B21" s="58">
        <f>SUMIFS(Inspección!$E$15:$E$55,Inspección!$B$15:$B$55,"Laboratorios y talleres")</f>
      </c>
      <c r="C21" s="58">
        <f>2*COUNTIFS(Inspección!$B$15:$B$55,"Laboratorios y talleres",Inspección!$E$15:$E$55,"&gt;=0")</f>
      </c>
      <c r="D21" s="59">
        <f>IF(C21=0,"",B21/C21)</f>
      </c>
      <c r="E21" s="60">
        <f>IF(D21="","—",IF(D21&gt;=0.85,"Verde",IF(D21&gt;=0.7,"Ámbar","Rojo")))</f>
      </c>
    </row>
    <row r="23" ht="20" customHeight="1" spans="1:5" x14ac:dyDescent="0.25">
      <c r="A23" s="8" t="s">
        <v>116</v>
      </c>
      <c r="B23" s="8"/>
      <c r="C23" s="8"/>
      <c r="D23" s="8"/>
      <c r="E23" s="8"/>
    </row>
    <row r="24" ht="18" customHeight="1" spans="1:5" x14ac:dyDescent="0.25">
      <c r="A24" s="29" t="s">
        <v>117</v>
      </c>
      <c r="B24" s="29" t="s">
        <v>112</v>
      </c>
      <c r="C24" s="29" t="s">
        <v>113</v>
      </c>
      <c r="D24" s="29" t="s">
        <v>114</v>
      </c>
      <c r="E24" s="29" t="s">
        <v>115</v>
      </c>
    </row>
    <row r="25" ht="18" customHeight="1" spans="1:5" x14ac:dyDescent="0.25">
      <c r="A25" s="53" t="s">
        <v>118</v>
      </c>
      <c r="B25" s="54">
        <f>SUMIFS(Inspección!$E$15:$E$55,Inspección!$C$15:$C$55,"S")</f>
      </c>
      <c r="C25" s="54">
        <f>2*COUNTIFS(Inspección!$C$15:$C$55,"S",Inspección!$E$15:$E$55,"&gt;=0")</f>
      </c>
      <c r="D25" s="55">
        <f>IF(C25=0,"",B25/C25)</f>
      </c>
      <c r="E25" s="56">
        <f>IF(D25="","—",IF(D25&gt;=0.85,"Verde",IF(D25&gt;=0.7,"Ámbar","Rojo")))</f>
      </c>
    </row>
    <row r="26" ht="18" customHeight="1" spans="1:5" x14ac:dyDescent="0.25">
      <c r="A26" s="57" t="s">
        <v>119</v>
      </c>
      <c r="B26" s="58">
        <f>SUMIFS(Inspección!$E$15:$E$55,Inspección!$C$15:$C$55,"O")</f>
      </c>
      <c r="C26" s="58">
        <f>2*COUNTIFS(Inspección!$C$15:$C$55,"O",Inspección!$E$15:$E$55,"&gt;=0")</f>
      </c>
      <c r="D26" s="59">
        <f>IF(C26=0,"",B26/C26)</f>
      </c>
      <c r="E26" s="60">
        <f>IF(D26="","—",IF(D26&gt;=0.85,"Verde",IF(D26&gt;=0.7,"Ámbar","Rojo")))</f>
      </c>
    </row>
    <row r="27" ht="18" customHeight="1" spans="1:5" x14ac:dyDescent="0.25">
      <c r="A27" s="53" t="s">
        <v>120</v>
      </c>
      <c r="B27" s="54">
        <f>SUMIFS(Inspección!$E$15:$E$55,Inspección!$C$15:$C$55,"L")</f>
      </c>
      <c r="C27" s="54">
        <f>2*COUNTIFS(Inspección!$C$15:$C$55,"L",Inspección!$E$15:$E$55,"&gt;=0")</f>
      </c>
      <c r="D27" s="55">
        <f>IF(C27=0,"",B27/C27)</f>
      </c>
      <c r="E27" s="56">
        <f>IF(D27="","—",IF(D27&gt;=0.85,"Verde",IF(D27&gt;=0.7,"Ámbar","Rojo")))</f>
      </c>
    </row>
    <row r="29" spans="1:5" x14ac:dyDescent="0.25">
      <c r="A29" s="61" t="s">
        <v>121</v>
      </c>
      <c r="B29" s="61"/>
      <c r="C29" s="61"/>
      <c r="D29" s="61"/>
      <c r="E29" s="61"/>
    </row>
    <row r="31" ht="20" customHeight="1" spans="1:5" x14ac:dyDescent="0.25">
      <c r="A31" s="16" t="s">
        <v>22</v>
      </c>
      <c r="B31" s="16"/>
      <c r="C31" s="16"/>
      <c r="D31" s="17" t="s">
        <v>23</v>
      </c>
      <c r="E31" s="17"/>
    </row>
  </sheetData>
  <sheetProtection sheet="1" algorithmName="SHA-512" hashValue="+549qEv3LwZKAhgK8/ZYQ2NiqVwyU111cf6URt7yFBL8Z9MeYZzS01o4AMfGPLdiQLXQgfnPFyd0jJHXKq4fmA==" saltValue="koxLmjU2wK/4pwiaXTjAXw==" spinCount="100000"/>
  <mergeCells count="17">
    <mergeCell ref="A1:C1"/>
    <mergeCell ref="A2:C2"/>
    <mergeCell ref="A3:C3"/>
    <mergeCell ref="B5:C5"/>
    <mergeCell ref="D5:E5"/>
    <mergeCell ref="B6:C6"/>
    <mergeCell ref="D6:E6"/>
    <mergeCell ref="B8:C8"/>
    <mergeCell ref="D8:E10"/>
    <mergeCell ref="A8:A10"/>
    <mergeCell ref="B9:C9"/>
    <mergeCell ref="B10:C10"/>
    <mergeCell ref="A12:E12"/>
    <mergeCell ref="A23:E23"/>
    <mergeCell ref="A29:E29"/>
    <mergeCell ref="A31:C31"/>
    <mergeCell ref="D31:E31"/>
  </mergeCells>
  <conditionalFormatting sqref="D8:E10">
    <cfRule type="expression" dxfId="3" priority="1">
      <formula>AND($B$9&lt;&gt;"",$B$9&gt;=85)</formula>
    </cfRule>
    <cfRule type="expression" dxfId="4" priority="2">
      <formula>AND($B$9&lt;&gt;"",$B$9&gt;=70,$B$9&lt;85)</formula>
    </cfRule>
    <cfRule type="expression" dxfId="5" priority="3">
      <formula>AND($B$9&lt;&gt;"",$B$9&lt;70)</formula>
    </cfRule>
  </conditionalFormatting>
  <conditionalFormatting sqref="E14:E21">
    <cfRule type="cellIs" dxfId="6" priority="4" operator="equal">
      <formula>"Verde"</formula>
    </cfRule>
    <cfRule type="cellIs" dxfId="7" priority="5" operator="equal">
      <formula>"Ámbar"</formula>
    </cfRule>
    <cfRule type="cellIs" dxfId="8" priority="6" operator="equal">
      <formula>"Rojo"</formula>
    </cfRule>
  </conditionalFormatting>
  <conditionalFormatting sqref="E25:E27">
    <cfRule type="cellIs" dxfId="9" priority="7" operator="equal">
      <formula>"Verde"</formula>
    </cfRule>
    <cfRule type="cellIs" dxfId="10" priority="8" operator="equal">
      <formula>"Ámbar"</formula>
    </cfRule>
    <cfRule type="cellIs" dxfId="11" priority="9" operator="equal">
      <formula>"Rojo"</formula>
    </cfRule>
  </conditionalFormatting>
  <printOptions horizontalCentered="1"/>
  <pageMargins left="0.35" right="0.35" top="0.4" bottom="0.55" header="0.2" footer="0.25"/>
  <pageSetup paperSize="1" orientation="portrait" fitToWidth="1" fitToHeight="0"/>
  <headerFooter>
    <oddFooter>&amp;R&amp;8SOL-F01 · v1.2 · Pág.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7" customWidth="1"/>
    <col min="5" max="5" width="40" customWidth="1"/>
    <col min="6" max="6" width="36" customWidth="1"/>
    <col min="7" max="7" width="20" customWidth="1"/>
    <col min="8" max="8" width="13" customWidth="1"/>
    <col min="9" max="9" width="11" customWidth="1"/>
    <col min="10" max="10" width="12" customWidth="1"/>
    <col min="11" max="11" width="13" customWidth="1"/>
    <col min="12" max="12" width="12" customWidth="1"/>
    <col min="13" max="13" width="10" customWidth="1"/>
  </cols>
  <sheetData>
    <row r="1" ht="17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ht="30" customHeight="1" spans="1:13" x14ac:dyDescent="0.25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2"/>
      <c r="L2" s="3"/>
      <c r="M2" s="3"/>
    </row>
    <row r="3" ht="17" customHeight="1" spans="1:13" x14ac:dyDescent="0.25">
      <c r="A3" s="5" t="s">
        <v>123</v>
      </c>
      <c r="B3" s="5"/>
      <c r="C3" s="5"/>
      <c r="D3" s="5"/>
      <c r="E3" s="5"/>
      <c r="F3" s="5"/>
      <c r="G3" s="5"/>
      <c r="H3" s="5"/>
      <c r="I3" s="5"/>
      <c r="J3" s="5"/>
      <c r="K3" s="2"/>
      <c r="L3" s="3"/>
      <c r="M3" s="3"/>
    </row>
    <row r="4" ht="6" customHeight="1" x14ac:dyDescent="0.25"/>
    <row r="5" ht="6" customHeight="1" x14ac:dyDescent="0.25"/>
    <row r="6" ht="30" customHeight="1" spans="1:13" x14ac:dyDescent="0.25">
      <c r="A6" s="29" t="s">
        <v>41</v>
      </c>
      <c r="B6" s="29" t="s">
        <v>124</v>
      </c>
      <c r="C6" s="29" t="s">
        <v>42</v>
      </c>
      <c r="D6" s="29" t="s">
        <v>43</v>
      </c>
      <c r="E6" s="29" t="s">
        <v>125</v>
      </c>
      <c r="F6" s="29" t="s">
        <v>126</v>
      </c>
      <c r="G6" s="29" t="s">
        <v>127</v>
      </c>
      <c r="H6" s="29" t="s">
        <v>128</v>
      </c>
      <c r="I6" s="29" t="s">
        <v>129</v>
      </c>
      <c r="J6" s="29" t="s">
        <v>130</v>
      </c>
      <c r="K6" s="29" t="s">
        <v>131</v>
      </c>
      <c r="L6" s="29" t="s">
        <v>132</v>
      </c>
      <c r="M6" s="29" t="s">
        <v>133</v>
      </c>
    </row>
    <row r="7" ht="20" customHeight="1" spans="1:13" x14ac:dyDescent="0.25">
      <c r="A7" s="62">
        <v>1</v>
      </c>
      <c r="B7" s="63"/>
      <c r="C7" s="64"/>
      <c r="D7" s="64"/>
      <c r="E7" s="64"/>
      <c r="F7" s="64"/>
      <c r="G7" s="64"/>
      <c r="H7" s="63"/>
      <c r="I7" s="64"/>
      <c r="J7" s="64"/>
      <c r="K7" s="64"/>
      <c r="L7" s="63"/>
      <c r="M7" s="65">
        <f>IF(B7="","",IF(L7&lt;&gt;"",L7-B7,TODAY()-B7))</f>
      </c>
    </row>
    <row r="8" ht="20" customHeight="1" spans="1:13" x14ac:dyDescent="0.25">
      <c r="A8" s="62">
        <v>2</v>
      </c>
      <c r="B8" s="66"/>
      <c r="C8" s="67"/>
      <c r="D8" s="67"/>
      <c r="E8" s="67"/>
      <c r="F8" s="67"/>
      <c r="G8" s="67"/>
      <c r="H8" s="66"/>
      <c r="I8" s="67"/>
      <c r="J8" s="67"/>
      <c r="K8" s="67"/>
      <c r="L8" s="66"/>
      <c r="M8" s="65">
        <f>IF(B8="","",IF(L8&lt;&gt;"",L8-B8,TODAY()-B8))</f>
      </c>
    </row>
    <row r="9" ht="20" customHeight="1" spans="1:13" x14ac:dyDescent="0.25">
      <c r="A9" s="62">
        <v>3</v>
      </c>
      <c r="B9" s="63"/>
      <c r="C9" s="64"/>
      <c r="D9" s="64"/>
      <c r="E9" s="64"/>
      <c r="F9" s="64"/>
      <c r="G9" s="64"/>
      <c r="H9" s="63"/>
      <c r="I9" s="64"/>
      <c r="J9" s="64"/>
      <c r="K9" s="64"/>
      <c r="L9" s="63"/>
      <c r="M9" s="65">
        <f>IF(B9="","",IF(L9&lt;&gt;"",L9-B9,TODAY()-B9))</f>
      </c>
    </row>
    <row r="10" ht="20" customHeight="1" spans="1:13" x14ac:dyDescent="0.25">
      <c r="A10" s="62">
        <v>4</v>
      </c>
      <c r="B10" s="66"/>
      <c r="C10" s="67"/>
      <c r="D10" s="67"/>
      <c r="E10" s="67"/>
      <c r="F10" s="67"/>
      <c r="G10" s="67"/>
      <c r="H10" s="66"/>
      <c r="I10" s="67"/>
      <c r="J10" s="67"/>
      <c r="K10" s="67"/>
      <c r="L10" s="66"/>
      <c r="M10" s="65">
        <f>IF(B10="","",IF(L10&lt;&gt;"",L10-B10,TODAY()-B10))</f>
      </c>
    </row>
    <row r="11" ht="20" customHeight="1" spans="1:13" x14ac:dyDescent="0.25">
      <c r="A11" s="62">
        <v>5</v>
      </c>
      <c r="B11" s="63"/>
      <c r="C11" s="64"/>
      <c r="D11" s="64"/>
      <c r="E11" s="64"/>
      <c r="F11" s="64"/>
      <c r="G11" s="64"/>
      <c r="H11" s="63"/>
      <c r="I11" s="64"/>
      <c r="J11" s="64"/>
      <c r="K11" s="64"/>
      <c r="L11" s="63"/>
      <c r="M11" s="65">
        <f>IF(B11="","",IF(L11&lt;&gt;"",L11-B11,TODAY()-B11))</f>
      </c>
    </row>
    <row r="12" ht="20" customHeight="1" spans="1:13" x14ac:dyDescent="0.25">
      <c r="A12" s="62">
        <v>6</v>
      </c>
      <c r="B12" s="66"/>
      <c r="C12" s="67"/>
      <c r="D12" s="67"/>
      <c r="E12" s="67"/>
      <c r="F12" s="67"/>
      <c r="G12" s="67"/>
      <c r="H12" s="66"/>
      <c r="I12" s="67"/>
      <c r="J12" s="67"/>
      <c r="K12" s="67"/>
      <c r="L12" s="66"/>
      <c r="M12" s="65">
        <f>IF(B12="","",IF(L12&lt;&gt;"",L12-B12,TODAY()-B12))</f>
      </c>
    </row>
    <row r="13" ht="20" customHeight="1" spans="1:13" x14ac:dyDescent="0.25">
      <c r="A13" s="62">
        <v>7</v>
      </c>
      <c r="B13" s="63"/>
      <c r="C13" s="64"/>
      <c r="D13" s="64"/>
      <c r="E13" s="64"/>
      <c r="F13" s="64"/>
      <c r="G13" s="64"/>
      <c r="H13" s="63"/>
      <c r="I13" s="64"/>
      <c r="J13" s="64"/>
      <c r="K13" s="64"/>
      <c r="L13" s="63"/>
      <c r="M13" s="65">
        <f>IF(B13="","",IF(L13&lt;&gt;"",L13-B13,TODAY()-B13))</f>
      </c>
    </row>
    <row r="14" ht="20" customHeight="1" spans="1:13" x14ac:dyDescent="0.25">
      <c r="A14" s="62">
        <v>8</v>
      </c>
      <c r="B14" s="66"/>
      <c r="C14" s="67"/>
      <c r="D14" s="67"/>
      <c r="E14" s="67"/>
      <c r="F14" s="67"/>
      <c r="G14" s="67"/>
      <c r="H14" s="66"/>
      <c r="I14" s="67"/>
      <c r="J14" s="67"/>
      <c r="K14" s="67"/>
      <c r="L14" s="66"/>
      <c r="M14" s="65">
        <f>IF(B14="","",IF(L14&lt;&gt;"",L14-B14,TODAY()-B14))</f>
      </c>
    </row>
    <row r="15" ht="20" customHeight="1" spans="1:13" x14ac:dyDescent="0.25">
      <c r="A15" s="62">
        <v>9</v>
      </c>
      <c r="B15" s="63"/>
      <c r="C15" s="64"/>
      <c r="D15" s="64"/>
      <c r="E15" s="64"/>
      <c r="F15" s="64"/>
      <c r="G15" s="64"/>
      <c r="H15" s="63"/>
      <c r="I15" s="64"/>
      <c r="J15" s="64"/>
      <c r="K15" s="64"/>
      <c r="L15" s="63"/>
      <c r="M15" s="65">
        <f>IF(B15="","",IF(L15&lt;&gt;"",L15-B15,TODAY()-B15))</f>
      </c>
    </row>
    <row r="16" ht="20" customHeight="1" spans="1:13" x14ac:dyDescent="0.25">
      <c r="A16" s="62">
        <v>10</v>
      </c>
      <c r="B16" s="66"/>
      <c r="C16" s="67"/>
      <c r="D16" s="67"/>
      <c r="E16" s="67"/>
      <c r="F16" s="67"/>
      <c r="G16" s="67"/>
      <c r="H16" s="66"/>
      <c r="I16" s="67"/>
      <c r="J16" s="67"/>
      <c r="K16" s="67"/>
      <c r="L16" s="66"/>
      <c r="M16" s="65">
        <f>IF(B16="","",IF(L16&lt;&gt;"",L16-B16,TODAY()-B16))</f>
      </c>
    </row>
    <row r="17" ht="20" customHeight="1" spans="1:13" x14ac:dyDescent="0.25">
      <c r="A17" s="62">
        <v>11</v>
      </c>
      <c r="B17" s="63"/>
      <c r="C17" s="64"/>
      <c r="D17" s="64"/>
      <c r="E17" s="64"/>
      <c r="F17" s="64"/>
      <c r="G17" s="64"/>
      <c r="H17" s="63"/>
      <c r="I17" s="64"/>
      <c r="J17" s="64"/>
      <c r="K17" s="64"/>
      <c r="L17" s="63"/>
      <c r="M17" s="65">
        <f>IF(B17="","",IF(L17&lt;&gt;"",L17-B17,TODAY()-B17))</f>
      </c>
    </row>
    <row r="18" ht="20" customHeight="1" spans="1:13" x14ac:dyDescent="0.25">
      <c r="A18" s="62">
        <v>12</v>
      </c>
      <c r="B18" s="66"/>
      <c r="C18" s="67"/>
      <c r="D18" s="67"/>
      <c r="E18" s="67"/>
      <c r="F18" s="67"/>
      <c r="G18" s="67"/>
      <c r="H18" s="66"/>
      <c r="I18" s="67"/>
      <c r="J18" s="67"/>
      <c r="K18" s="67"/>
      <c r="L18" s="66"/>
      <c r="M18" s="65">
        <f>IF(B18="","",IF(L18&lt;&gt;"",L18-B18,TODAY()-B18))</f>
      </c>
    </row>
    <row r="19" ht="20" customHeight="1" spans="1:13" x14ac:dyDescent="0.25">
      <c r="A19" s="62">
        <v>13</v>
      </c>
      <c r="B19" s="63"/>
      <c r="C19" s="64"/>
      <c r="D19" s="64"/>
      <c r="E19" s="64"/>
      <c r="F19" s="64"/>
      <c r="G19" s="64"/>
      <c r="H19" s="63"/>
      <c r="I19" s="64"/>
      <c r="J19" s="64"/>
      <c r="K19" s="64"/>
      <c r="L19" s="63"/>
      <c r="M19" s="65">
        <f>IF(B19="","",IF(L19&lt;&gt;"",L19-B19,TODAY()-B19))</f>
      </c>
    </row>
    <row r="20" ht="20" customHeight="1" spans="1:13" x14ac:dyDescent="0.25">
      <c r="A20" s="62">
        <v>14</v>
      </c>
      <c r="B20" s="66"/>
      <c r="C20" s="67"/>
      <c r="D20" s="67"/>
      <c r="E20" s="67"/>
      <c r="F20" s="67"/>
      <c r="G20" s="67"/>
      <c r="H20" s="66"/>
      <c r="I20" s="67"/>
      <c r="J20" s="67"/>
      <c r="K20" s="67"/>
      <c r="L20" s="66"/>
      <c r="M20" s="65">
        <f>IF(B20="","",IF(L20&lt;&gt;"",L20-B20,TODAY()-B20))</f>
      </c>
    </row>
    <row r="21" ht="20" customHeight="1" spans="1:13" x14ac:dyDescent="0.25">
      <c r="A21" s="62">
        <v>15</v>
      </c>
      <c r="B21" s="63"/>
      <c r="C21" s="64"/>
      <c r="D21" s="64"/>
      <c r="E21" s="64"/>
      <c r="F21" s="64"/>
      <c r="G21" s="64"/>
      <c r="H21" s="63"/>
      <c r="I21" s="64"/>
      <c r="J21" s="64"/>
      <c r="K21" s="64"/>
      <c r="L21" s="63"/>
      <c r="M21" s="65">
        <f>IF(B21="","",IF(L21&lt;&gt;"",L21-B21,TODAY()-B21))</f>
      </c>
    </row>
    <row r="22" ht="20" customHeight="1" spans="1:13" x14ac:dyDescent="0.25">
      <c r="A22" s="62">
        <v>16</v>
      </c>
      <c r="B22" s="66"/>
      <c r="C22" s="67"/>
      <c r="D22" s="67"/>
      <c r="E22" s="67"/>
      <c r="F22" s="67"/>
      <c r="G22" s="67"/>
      <c r="H22" s="66"/>
      <c r="I22" s="67"/>
      <c r="J22" s="67"/>
      <c r="K22" s="67"/>
      <c r="L22" s="66"/>
      <c r="M22" s="65">
        <f>IF(B22="","",IF(L22&lt;&gt;"",L22-B22,TODAY()-B22))</f>
      </c>
    </row>
    <row r="23" ht="20" customHeight="1" spans="1:13" x14ac:dyDescent="0.25">
      <c r="A23" s="62">
        <v>17</v>
      </c>
      <c r="B23" s="63"/>
      <c r="C23" s="64"/>
      <c r="D23" s="64"/>
      <c r="E23" s="64"/>
      <c r="F23" s="64"/>
      <c r="G23" s="64"/>
      <c r="H23" s="63"/>
      <c r="I23" s="64"/>
      <c r="J23" s="64"/>
      <c r="K23" s="64"/>
      <c r="L23" s="63"/>
      <c r="M23" s="65">
        <f>IF(B23="","",IF(L23&lt;&gt;"",L23-B23,TODAY()-B23))</f>
      </c>
    </row>
    <row r="24" ht="20" customHeight="1" spans="1:13" x14ac:dyDescent="0.25">
      <c r="A24" s="62">
        <v>18</v>
      </c>
      <c r="B24" s="66"/>
      <c r="C24" s="67"/>
      <c r="D24" s="67"/>
      <c r="E24" s="67"/>
      <c r="F24" s="67"/>
      <c r="G24" s="67"/>
      <c r="H24" s="66"/>
      <c r="I24" s="67"/>
      <c r="J24" s="67"/>
      <c r="K24" s="67"/>
      <c r="L24" s="66"/>
      <c r="M24" s="65">
        <f>IF(B24="","",IF(L24&lt;&gt;"",L24-B24,TODAY()-B24))</f>
      </c>
    </row>
    <row r="25" ht="20" customHeight="1" spans="1:13" x14ac:dyDescent="0.25">
      <c r="A25" s="62">
        <v>19</v>
      </c>
      <c r="B25" s="63"/>
      <c r="C25" s="64"/>
      <c r="D25" s="64"/>
      <c r="E25" s="64"/>
      <c r="F25" s="64"/>
      <c r="G25" s="64"/>
      <c r="H25" s="63"/>
      <c r="I25" s="64"/>
      <c r="J25" s="64"/>
      <c r="K25" s="64"/>
      <c r="L25" s="63"/>
      <c r="M25" s="65">
        <f>IF(B25="","",IF(L25&lt;&gt;"",L25-B25,TODAY()-B25))</f>
      </c>
    </row>
    <row r="26" ht="20" customHeight="1" spans="1:13" x14ac:dyDescent="0.25">
      <c r="A26" s="62">
        <v>20</v>
      </c>
      <c r="B26" s="66"/>
      <c r="C26" s="67"/>
      <c r="D26" s="67"/>
      <c r="E26" s="67"/>
      <c r="F26" s="67"/>
      <c r="G26" s="67"/>
      <c r="H26" s="66"/>
      <c r="I26" s="67"/>
      <c r="J26" s="67"/>
      <c r="K26" s="67"/>
      <c r="L26" s="66"/>
      <c r="M26" s="65">
        <f>IF(B26="","",IF(L26&lt;&gt;"",L26-B26,TODAY()-B26))</f>
      </c>
    </row>
    <row r="27" ht="20" customHeight="1" spans="1:13" x14ac:dyDescent="0.25">
      <c r="A27" s="62">
        <v>21</v>
      </c>
      <c r="B27" s="63"/>
      <c r="C27" s="64"/>
      <c r="D27" s="64"/>
      <c r="E27" s="64"/>
      <c r="F27" s="64"/>
      <c r="G27" s="64"/>
      <c r="H27" s="63"/>
      <c r="I27" s="64"/>
      <c r="J27" s="64"/>
      <c r="K27" s="64"/>
      <c r="L27" s="63"/>
      <c r="M27" s="65">
        <f>IF(B27="","",IF(L27&lt;&gt;"",L27-B27,TODAY()-B27))</f>
      </c>
    </row>
    <row r="28" ht="20" customHeight="1" spans="1:13" x14ac:dyDescent="0.25">
      <c r="A28" s="62">
        <v>22</v>
      </c>
      <c r="B28" s="66"/>
      <c r="C28" s="67"/>
      <c r="D28" s="67"/>
      <c r="E28" s="67"/>
      <c r="F28" s="67"/>
      <c r="G28" s="67"/>
      <c r="H28" s="66"/>
      <c r="I28" s="67"/>
      <c r="J28" s="67"/>
      <c r="K28" s="67"/>
      <c r="L28" s="66"/>
      <c r="M28" s="65">
        <f>IF(B28="","",IF(L28&lt;&gt;"",L28-B28,TODAY()-B28))</f>
      </c>
    </row>
    <row r="29" ht="20" customHeight="1" spans="1:13" x14ac:dyDescent="0.25">
      <c r="A29" s="62">
        <v>23</v>
      </c>
      <c r="B29" s="63"/>
      <c r="C29" s="64"/>
      <c r="D29" s="64"/>
      <c r="E29" s="64"/>
      <c r="F29" s="64"/>
      <c r="G29" s="64"/>
      <c r="H29" s="63"/>
      <c r="I29" s="64"/>
      <c r="J29" s="64"/>
      <c r="K29" s="64"/>
      <c r="L29" s="63"/>
      <c r="M29" s="65">
        <f>IF(B29="","",IF(L29&lt;&gt;"",L29-B29,TODAY()-B29))</f>
      </c>
    </row>
    <row r="30" ht="20" customHeight="1" spans="1:13" x14ac:dyDescent="0.25">
      <c r="A30" s="62">
        <v>24</v>
      </c>
      <c r="B30" s="66"/>
      <c r="C30" s="67"/>
      <c r="D30" s="67"/>
      <c r="E30" s="67"/>
      <c r="F30" s="67"/>
      <c r="G30" s="67"/>
      <c r="H30" s="66"/>
      <c r="I30" s="67"/>
      <c r="J30" s="67"/>
      <c r="K30" s="67"/>
      <c r="L30" s="66"/>
      <c r="M30" s="65">
        <f>IF(B30="","",IF(L30&lt;&gt;"",L30-B30,TODAY()-B30))</f>
      </c>
    </row>
    <row r="31" ht="20" customHeight="1" spans="1:13" x14ac:dyDescent="0.25">
      <c r="A31" s="62">
        <v>25</v>
      </c>
      <c r="B31" s="63"/>
      <c r="C31" s="64"/>
      <c r="D31" s="64"/>
      <c r="E31" s="64"/>
      <c r="F31" s="64"/>
      <c r="G31" s="64"/>
      <c r="H31" s="63"/>
      <c r="I31" s="64"/>
      <c r="J31" s="64"/>
      <c r="K31" s="64"/>
      <c r="L31" s="63"/>
      <c r="M31" s="65">
        <f>IF(B31="","",IF(L31&lt;&gt;"",L31-B31,TODAY()-B31))</f>
      </c>
    </row>
    <row r="32" ht="20" customHeight="1" spans="1:13" x14ac:dyDescent="0.25">
      <c r="A32" s="62">
        <v>26</v>
      </c>
      <c r="B32" s="66"/>
      <c r="C32" s="67"/>
      <c r="D32" s="67"/>
      <c r="E32" s="67"/>
      <c r="F32" s="67"/>
      <c r="G32" s="67"/>
      <c r="H32" s="66"/>
      <c r="I32" s="67"/>
      <c r="J32" s="67"/>
      <c r="K32" s="67"/>
      <c r="L32" s="66"/>
      <c r="M32" s="65">
        <f>IF(B32="","",IF(L32&lt;&gt;"",L32-B32,TODAY()-B32))</f>
      </c>
    </row>
    <row r="33" ht="20" customHeight="1" spans="1:13" x14ac:dyDescent="0.25">
      <c r="A33" s="62">
        <v>27</v>
      </c>
      <c r="B33" s="63"/>
      <c r="C33" s="64"/>
      <c r="D33" s="64"/>
      <c r="E33" s="64"/>
      <c r="F33" s="64"/>
      <c r="G33" s="64"/>
      <c r="H33" s="63"/>
      <c r="I33" s="64"/>
      <c r="J33" s="64"/>
      <c r="K33" s="64"/>
      <c r="L33" s="63"/>
      <c r="M33" s="65">
        <f>IF(B33="","",IF(L33&lt;&gt;"",L33-B33,TODAY()-B33))</f>
      </c>
    </row>
    <row r="34" ht="20" customHeight="1" spans="1:13" x14ac:dyDescent="0.25">
      <c r="A34" s="62">
        <v>28</v>
      </c>
      <c r="B34" s="66"/>
      <c r="C34" s="67"/>
      <c r="D34" s="67"/>
      <c r="E34" s="67"/>
      <c r="F34" s="67"/>
      <c r="G34" s="67"/>
      <c r="H34" s="66"/>
      <c r="I34" s="67"/>
      <c r="J34" s="67"/>
      <c r="K34" s="67"/>
      <c r="L34" s="66"/>
      <c r="M34" s="65">
        <f>IF(B34="","",IF(L34&lt;&gt;"",L34-B34,TODAY()-B34))</f>
      </c>
    </row>
    <row r="35" ht="20" customHeight="1" spans="1:13" x14ac:dyDescent="0.25">
      <c r="A35" s="62">
        <v>29</v>
      </c>
      <c r="B35" s="63"/>
      <c r="C35" s="64"/>
      <c r="D35" s="64"/>
      <c r="E35" s="64"/>
      <c r="F35" s="64"/>
      <c r="G35" s="64"/>
      <c r="H35" s="63"/>
      <c r="I35" s="64"/>
      <c r="J35" s="64"/>
      <c r="K35" s="64"/>
      <c r="L35" s="63"/>
      <c r="M35" s="65">
        <f>IF(B35="","",IF(L35&lt;&gt;"",L35-B35,TODAY()-B35))</f>
      </c>
    </row>
    <row r="36" ht="20" customHeight="1" spans="1:13" x14ac:dyDescent="0.25">
      <c r="A36" s="62">
        <v>30</v>
      </c>
      <c r="B36" s="66"/>
      <c r="C36" s="67"/>
      <c r="D36" s="67"/>
      <c r="E36" s="67"/>
      <c r="F36" s="67"/>
      <c r="G36" s="67"/>
      <c r="H36" s="66"/>
      <c r="I36" s="67"/>
      <c r="J36" s="67"/>
      <c r="K36" s="67"/>
      <c r="L36" s="66"/>
      <c r="M36" s="65">
        <f>IF(B36="","",IF(L36&lt;&gt;"",L36-B36,TODAY()-B36))</f>
      </c>
    </row>
    <row r="38" spans="1:8" x14ac:dyDescent="0.25">
      <c r="A38" s="68">
        <f>COUNTIF(K7:K36,"Cerrado")&amp;" de "&amp;COUNTA(E7:E36)&amp;" hallazgos cerrados · Meta: cerrar en menos de 30 días"</f>
      </c>
      <c r="B38" s="68"/>
      <c r="C38" s="68"/>
      <c r="D38" s="68"/>
      <c r="E38" s="68"/>
      <c r="F38" s="68"/>
      <c r="G38" s="68"/>
      <c r="H38" s="68"/>
    </row>
    <row r="40" ht="20" customHeight="1" spans="1:13" x14ac:dyDescent="0.25">
      <c r="A40" s="16" t="s">
        <v>22</v>
      </c>
      <c r="B40" s="16"/>
      <c r="C40" s="16"/>
      <c r="D40" s="16"/>
      <c r="E40" s="16"/>
      <c r="F40" s="16"/>
      <c r="G40" s="17" t="s">
        <v>23</v>
      </c>
      <c r="H40" s="17"/>
      <c r="I40" s="17"/>
      <c r="J40" s="17"/>
      <c r="K40" s="17"/>
      <c r="L40" s="17"/>
      <c r="M40" s="17"/>
    </row>
  </sheetData>
  <sheetProtection sheet="1" algorithmName="SHA-512" hashValue="E+Ymca/cxSEDqb3LsuUtgo5PbAXVuQswDCS9mHX/SoONDknl4d/wfZIy5iGpna/NmJIV6QW4fGwGIWW7OqKgIw==" saltValue="giQx+H+m0WafntgEib+FfA==" spinCount="100000"/>
  <mergeCells count="6">
    <mergeCell ref="A1:J1"/>
    <mergeCell ref="A2:J2"/>
    <mergeCell ref="A3:J3"/>
    <mergeCell ref="A38:H38"/>
    <mergeCell ref="A40:F40"/>
    <mergeCell ref="G40:M40"/>
  </mergeCells>
  <conditionalFormatting sqref="K7:K36">
    <cfRule type="cellIs" dxfId="12" priority="1" operator="equal">
      <formula>"Cerrado"</formula>
    </cfRule>
    <cfRule type="cellIs" dxfId="13" priority="2" operator="equal">
      <formula>"Abierto"</formula>
    </cfRule>
  </conditionalFormatting>
  <conditionalFormatting sqref="M7:M36">
    <cfRule type="expression" dxfId="14" priority="3">
      <formula>AND(M7&lt;&gt;"",M7&gt;30,K7&lt;&gt;"Cerrado")</formula>
    </cfRule>
  </conditionalFormatting>
  <dataValidations count="4">
    <dataValidation type="list" allowBlank="1" sqref="C7:C36">
      <formula1>Listas!$F$2:$F$9</formula1>
    </dataValidation>
    <dataValidation type="list" allowBlank="1" sqref="D7:D36">
      <formula1>"S,O,L"</formula1>
    </dataValidation>
    <dataValidation type="list" allowBlank="1" sqref="I7:I36">
      <formula1>"Sí,No"</formula1>
    </dataValidation>
    <dataValidation type="list" allowBlank="1" sqref="K7:K36">
      <formula1>"Abierto,En proceso,Cerrado"</formula1>
    </dataValidation>
  </dataValidations>
  <printOptions horizontalCentered="1"/>
  <pageMargins left="0.35" right="0.35" top="0.4" bottom="0.55" header="0.2" footer="0.25"/>
  <pageSetup paperSize="1" orientation="landscape" fitToWidth="1" fitToHeight="0"/>
  <headerFooter>
    <oddFooter>&amp;R&amp;8SOL-F01 · v1.2 · Pág.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22" customWidth="1"/>
    <col min="4" max="4" width="34" customWidth="1"/>
    <col min="6" max="6" width="14" customWidth="1"/>
    <col min="7" max="7" width="13" customWidth="1"/>
    <col min="8" max="8" width="20" customWidth="1"/>
    <col min="9" max="10" width="12" customWidth="1"/>
    <col min="11" max="11" width="30" customWidth="1"/>
  </cols>
  <sheetData>
    <row r="1" ht="17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3"/>
    </row>
    <row r="2" ht="30" customHeight="1" spans="1:11" x14ac:dyDescent="0.25">
      <c r="A2" s="4" t="s">
        <v>134</v>
      </c>
      <c r="B2" s="4"/>
      <c r="C2" s="4"/>
      <c r="D2" s="4"/>
      <c r="E2" s="4"/>
      <c r="F2" s="4"/>
      <c r="G2" s="4"/>
      <c r="H2" s="4"/>
      <c r="I2" s="2"/>
      <c r="J2" s="3"/>
      <c r="K2" s="3"/>
    </row>
    <row r="3" ht="17" customHeight="1" spans="1:11" x14ac:dyDescent="0.25">
      <c r="A3" s="5" t="s">
        <v>135</v>
      </c>
      <c r="B3" s="5"/>
      <c r="C3" s="5"/>
      <c r="D3" s="5"/>
      <c r="E3" s="5"/>
      <c r="F3" s="5"/>
      <c r="G3" s="5"/>
      <c r="H3" s="5"/>
      <c r="I3" s="2"/>
      <c r="J3" s="3"/>
      <c r="K3" s="3"/>
    </row>
    <row r="4" ht="6" customHeight="1" x14ac:dyDescent="0.25"/>
    <row r="5" ht="6" customHeight="1" x14ac:dyDescent="0.25"/>
    <row r="6" ht="30" customHeight="1" spans="1:11" x14ac:dyDescent="0.25">
      <c r="A6" s="29" t="s">
        <v>136</v>
      </c>
      <c r="B6" s="29" t="s">
        <v>124</v>
      </c>
      <c r="C6" s="29" t="s">
        <v>42</v>
      </c>
      <c r="D6" s="29" t="s">
        <v>137</v>
      </c>
      <c r="E6" s="29" t="s">
        <v>138</v>
      </c>
      <c r="F6" s="29" t="s">
        <v>139</v>
      </c>
      <c r="G6" s="29" t="s">
        <v>140</v>
      </c>
      <c r="H6" s="29" t="s">
        <v>127</v>
      </c>
      <c r="I6" s="29" t="s">
        <v>141</v>
      </c>
      <c r="J6" s="29" t="s">
        <v>131</v>
      </c>
      <c r="K6" s="29" t="s">
        <v>142</v>
      </c>
    </row>
    <row r="7" ht="20" customHeight="1" spans="1:11" x14ac:dyDescent="0.25">
      <c r="A7" s="69" t="s">
        <v>143</v>
      </c>
      <c r="B7" s="63"/>
      <c r="C7" s="64"/>
      <c r="D7" s="64"/>
      <c r="E7" s="64"/>
      <c r="F7" s="64"/>
      <c r="G7" s="64"/>
      <c r="H7" s="64"/>
      <c r="I7" s="63"/>
      <c r="J7" s="64"/>
      <c r="K7" s="64"/>
    </row>
    <row r="8" ht="20" customHeight="1" spans="1:11" x14ac:dyDescent="0.25">
      <c r="A8" s="69" t="s">
        <v>144</v>
      </c>
      <c r="B8" s="66"/>
      <c r="C8" s="67"/>
      <c r="D8" s="67"/>
      <c r="E8" s="67"/>
      <c r="F8" s="67"/>
      <c r="G8" s="67"/>
      <c r="H8" s="67"/>
      <c r="I8" s="66"/>
      <c r="J8" s="67"/>
      <c r="K8" s="67"/>
    </row>
    <row r="9" ht="20" customHeight="1" spans="1:11" x14ac:dyDescent="0.25">
      <c r="A9" s="69" t="s">
        <v>145</v>
      </c>
      <c r="B9" s="63"/>
      <c r="C9" s="64"/>
      <c r="D9" s="64"/>
      <c r="E9" s="64"/>
      <c r="F9" s="64"/>
      <c r="G9" s="64"/>
      <c r="H9" s="64"/>
      <c r="I9" s="63"/>
      <c r="J9" s="64"/>
      <c r="K9" s="64"/>
    </row>
    <row r="10" ht="20" customHeight="1" spans="1:11" x14ac:dyDescent="0.25">
      <c r="A10" s="69" t="s">
        <v>146</v>
      </c>
      <c r="B10" s="66"/>
      <c r="C10" s="67"/>
      <c r="D10" s="67"/>
      <c r="E10" s="67"/>
      <c r="F10" s="67"/>
      <c r="G10" s="67"/>
      <c r="H10" s="67"/>
      <c r="I10" s="66"/>
      <c r="J10" s="67"/>
      <c r="K10" s="67"/>
    </row>
    <row r="11" ht="20" customHeight="1" spans="1:11" x14ac:dyDescent="0.25">
      <c r="A11" s="69" t="s">
        <v>147</v>
      </c>
      <c r="B11" s="63"/>
      <c r="C11" s="64"/>
      <c r="D11" s="64"/>
      <c r="E11" s="64"/>
      <c r="F11" s="64"/>
      <c r="G11" s="64"/>
      <c r="H11" s="64"/>
      <c r="I11" s="63"/>
      <c r="J11" s="64"/>
      <c r="K11" s="64"/>
    </row>
    <row r="12" ht="20" customHeight="1" spans="1:11" x14ac:dyDescent="0.25">
      <c r="A12" s="69" t="s">
        <v>148</v>
      </c>
      <c r="B12" s="66"/>
      <c r="C12" s="67"/>
      <c r="D12" s="67"/>
      <c r="E12" s="67"/>
      <c r="F12" s="67"/>
      <c r="G12" s="67"/>
      <c r="H12" s="67"/>
      <c r="I12" s="66"/>
      <c r="J12" s="67"/>
      <c r="K12" s="67"/>
    </row>
    <row r="13" ht="20" customHeight="1" spans="1:11" x14ac:dyDescent="0.25">
      <c r="A13" s="69" t="s">
        <v>149</v>
      </c>
      <c r="B13" s="63"/>
      <c r="C13" s="64"/>
      <c r="D13" s="64"/>
      <c r="E13" s="64"/>
      <c r="F13" s="64"/>
      <c r="G13" s="64"/>
      <c r="H13" s="64"/>
      <c r="I13" s="63"/>
      <c r="J13" s="64"/>
      <c r="K13" s="64"/>
    </row>
    <row r="14" ht="20" customHeight="1" spans="1:11" x14ac:dyDescent="0.25">
      <c r="A14" s="69" t="s">
        <v>150</v>
      </c>
      <c r="B14" s="66"/>
      <c r="C14" s="67"/>
      <c r="D14" s="67"/>
      <c r="E14" s="67"/>
      <c r="F14" s="67"/>
      <c r="G14" s="67"/>
      <c r="H14" s="67"/>
      <c r="I14" s="66"/>
      <c r="J14" s="67"/>
      <c r="K14" s="67"/>
    </row>
    <row r="15" ht="20" customHeight="1" spans="1:11" x14ac:dyDescent="0.25">
      <c r="A15" s="69" t="s">
        <v>151</v>
      </c>
      <c r="B15" s="63"/>
      <c r="C15" s="64"/>
      <c r="D15" s="64"/>
      <c r="E15" s="64"/>
      <c r="F15" s="64"/>
      <c r="G15" s="64"/>
      <c r="H15" s="64"/>
      <c r="I15" s="63"/>
      <c r="J15" s="64"/>
      <c r="K15" s="64"/>
    </row>
    <row r="16" ht="20" customHeight="1" spans="1:11" x14ac:dyDescent="0.25">
      <c r="A16" s="69" t="s">
        <v>152</v>
      </c>
      <c r="B16" s="66"/>
      <c r="C16" s="67"/>
      <c r="D16" s="67"/>
      <c r="E16" s="67"/>
      <c r="F16" s="67"/>
      <c r="G16" s="67"/>
      <c r="H16" s="67"/>
      <c r="I16" s="66"/>
      <c r="J16" s="67"/>
      <c r="K16" s="67"/>
    </row>
    <row r="17" ht="20" customHeight="1" spans="1:11" x14ac:dyDescent="0.25">
      <c r="A17" s="69" t="s">
        <v>153</v>
      </c>
      <c r="B17" s="63"/>
      <c r="C17" s="64"/>
      <c r="D17" s="64"/>
      <c r="E17" s="64"/>
      <c r="F17" s="64"/>
      <c r="G17" s="64"/>
      <c r="H17" s="64"/>
      <c r="I17" s="63"/>
      <c r="J17" s="64"/>
      <c r="K17" s="64"/>
    </row>
    <row r="18" ht="20" customHeight="1" spans="1:11" x14ac:dyDescent="0.25">
      <c r="A18" s="69" t="s">
        <v>154</v>
      </c>
      <c r="B18" s="66"/>
      <c r="C18" s="67"/>
      <c r="D18" s="67"/>
      <c r="E18" s="67"/>
      <c r="F18" s="67"/>
      <c r="G18" s="67"/>
      <c r="H18" s="67"/>
      <c r="I18" s="66"/>
      <c r="J18" s="67"/>
      <c r="K18" s="67"/>
    </row>
    <row r="19" ht="20" customHeight="1" spans="1:11" x14ac:dyDescent="0.25">
      <c r="A19" s="69" t="s">
        <v>155</v>
      </c>
      <c r="B19" s="63"/>
      <c r="C19" s="64"/>
      <c r="D19" s="64"/>
      <c r="E19" s="64"/>
      <c r="F19" s="64"/>
      <c r="G19" s="64"/>
      <c r="H19" s="64"/>
      <c r="I19" s="63"/>
      <c r="J19" s="64"/>
      <c r="K19" s="64"/>
    </row>
    <row r="20" ht="20" customHeight="1" spans="1:11" x14ac:dyDescent="0.25">
      <c r="A20" s="69" t="s">
        <v>156</v>
      </c>
      <c r="B20" s="66"/>
      <c r="C20" s="67"/>
      <c r="D20" s="67"/>
      <c r="E20" s="67"/>
      <c r="F20" s="67"/>
      <c r="G20" s="67"/>
      <c r="H20" s="67"/>
      <c r="I20" s="66"/>
      <c r="J20" s="67"/>
      <c r="K20" s="67"/>
    </row>
    <row r="21" ht="20" customHeight="1" spans="1:11" x14ac:dyDescent="0.25">
      <c r="A21" s="69" t="s">
        <v>157</v>
      </c>
      <c r="B21" s="63"/>
      <c r="C21" s="64"/>
      <c r="D21" s="64"/>
      <c r="E21" s="64"/>
      <c r="F21" s="64"/>
      <c r="G21" s="64"/>
      <c r="H21" s="64"/>
      <c r="I21" s="63"/>
      <c r="J21" s="64"/>
      <c r="K21" s="64"/>
    </row>
    <row r="22" ht="20" customHeight="1" spans="1:11" x14ac:dyDescent="0.25">
      <c r="A22" s="69" t="s">
        <v>158</v>
      </c>
      <c r="B22" s="66"/>
      <c r="C22" s="67"/>
      <c r="D22" s="67"/>
      <c r="E22" s="67"/>
      <c r="F22" s="67"/>
      <c r="G22" s="67"/>
      <c r="H22" s="67"/>
      <c r="I22" s="66"/>
      <c r="J22" s="67"/>
      <c r="K22" s="67"/>
    </row>
    <row r="23" ht="20" customHeight="1" spans="1:11" x14ac:dyDescent="0.25">
      <c r="A23" s="69" t="s">
        <v>159</v>
      </c>
      <c r="B23" s="63"/>
      <c r="C23" s="64"/>
      <c r="D23" s="64"/>
      <c r="E23" s="64"/>
      <c r="F23" s="64"/>
      <c r="G23" s="64"/>
      <c r="H23" s="64"/>
      <c r="I23" s="63"/>
      <c r="J23" s="64"/>
      <c r="K23" s="64"/>
    </row>
    <row r="24" ht="20" customHeight="1" spans="1:11" x14ac:dyDescent="0.25">
      <c r="A24" s="69" t="s">
        <v>160</v>
      </c>
      <c r="B24" s="66"/>
      <c r="C24" s="67"/>
      <c r="D24" s="67"/>
      <c r="E24" s="67"/>
      <c r="F24" s="67"/>
      <c r="G24" s="67"/>
      <c r="H24" s="67"/>
      <c r="I24" s="66"/>
      <c r="J24" s="67"/>
      <c r="K24" s="67"/>
    </row>
    <row r="25" ht="20" customHeight="1" spans="1:11" x14ac:dyDescent="0.25">
      <c r="A25" s="69" t="s">
        <v>161</v>
      </c>
      <c r="B25" s="63"/>
      <c r="C25" s="64"/>
      <c r="D25" s="64"/>
      <c r="E25" s="64"/>
      <c r="F25" s="64"/>
      <c r="G25" s="64"/>
      <c r="H25" s="64"/>
      <c r="I25" s="63"/>
      <c r="J25" s="64"/>
      <c r="K25" s="64"/>
    </row>
    <row r="26" ht="20" customHeight="1" spans="1:11" x14ac:dyDescent="0.25">
      <c r="A26" s="69" t="s">
        <v>162</v>
      </c>
      <c r="B26" s="66"/>
      <c r="C26" s="67"/>
      <c r="D26" s="67"/>
      <c r="E26" s="67"/>
      <c r="F26" s="67"/>
      <c r="G26" s="67"/>
      <c r="H26" s="67"/>
      <c r="I26" s="66"/>
      <c r="J26" s="67"/>
      <c r="K26" s="67"/>
    </row>
    <row r="27" ht="20" customHeight="1" spans="1:11" x14ac:dyDescent="0.25">
      <c r="A27" s="69" t="s">
        <v>163</v>
      </c>
      <c r="B27" s="63"/>
      <c r="C27" s="64"/>
      <c r="D27" s="64"/>
      <c r="E27" s="64"/>
      <c r="F27" s="64"/>
      <c r="G27" s="64"/>
      <c r="H27" s="64"/>
      <c r="I27" s="63"/>
      <c r="J27" s="64"/>
      <c r="K27" s="64"/>
    </row>
    <row r="28" ht="20" customHeight="1" spans="1:11" x14ac:dyDescent="0.25">
      <c r="A28" s="69" t="s">
        <v>164</v>
      </c>
      <c r="B28" s="66"/>
      <c r="C28" s="67"/>
      <c r="D28" s="67"/>
      <c r="E28" s="67"/>
      <c r="F28" s="67"/>
      <c r="G28" s="67"/>
      <c r="H28" s="67"/>
      <c r="I28" s="66"/>
      <c r="J28" s="67"/>
      <c r="K28" s="67"/>
    </row>
    <row r="29" ht="20" customHeight="1" spans="1:11" x14ac:dyDescent="0.25">
      <c r="A29" s="69" t="s">
        <v>165</v>
      </c>
      <c r="B29" s="63"/>
      <c r="C29" s="64"/>
      <c r="D29" s="64"/>
      <c r="E29" s="64"/>
      <c r="F29" s="64"/>
      <c r="G29" s="64"/>
      <c r="H29" s="64"/>
      <c r="I29" s="63"/>
      <c r="J29" s="64"/>
      <c r="K29" s="64"/>
    </row>
    <row r="30" ht="20" customHeight="1" spans="1:11" x14ac:dyDescent="0.25">
      <c r="A30" s="69" t="s">
        <v>166</v>
      </c>
      <c r="B30" s="66"/>
      <c r="C30" s="67"/>
      <c r="D30" s="67"/>
      <c r="E30" s="67"/>
      <c r="F30" s="67"/>
      <c r="G30" s="67"/>
      <c r="H30" s="67"/>
      <c r="I30" s="66"/>
      <c r="J30" s="67"/>
      <c r="K30" s="67"/>
    </row>
    <row r="31" ht="20" customHeight="1" spans="1:11" x14ac:dyDescent="0.25">
      <c r="A31" s="69" t="s">
        <v>167</v>
      </c>
      <c r="B31" s="63"/>
      <c r="C31" s="64"/>
      <c r="D31" s="64"/>
      <c r="E31" s="64"/>
      <c r="F31" s="64"/>
      <c r="G31" s="64"/>
      <c r="H31" s="64"/>
      <c r="I31" s="63"/>
      <c r="J31" s="64"/>
      <c r="K31" s="64"/>
    </row>
    <row r="32" ht="20" customHeight="1" spans="1:11" x14ac:dyDescent="0.25">
      <c r="A32" s="69" t="s">
        <v>168</v>
      </c>
      <c r="B32" s="66"/>
      <c r="C32" s="67"/>
      <c r="D32" s="67"/>
      <c r="E32" s="67"/>
      <c r="F32" s="67"/>
      <c r="G32" s="67"/>
      <c r="H32" s="67"/>
      <c r="I32" s="66"/>
      <c r="J32" s="67"/>
      <c r="K32" s="67"/>
    </row>
    <row r="33" ht="20" customHeight="1" spans="1:11" x14ac:dyDescent="0.25">
      <c r="A33" s="69" t="s">
        <v>169</v>
      </c>
      <c r="B33" s="63"/>
      <c r="C33" s="64"/>
      <c r="D33" s="64"/>
      <c r="E33" s="64"/>
      <c r="F33" s="64"/>
      <c r="G33" s="64"/>
      <c r="H33" s="64"/>
      <c r="I33" s="63"/>
      <c r="J33" s="64"/>
      <c r="K33" s="64"/>
    </row>
    <row r="34" ht="20" customHeight="1" spans="1:11" x14ac:dyDescent="0.25">
      <c r="A34" s="69" t="s">
        <v>170</v>
      </c>
      <c r="B34" s="66"/>
      <c r="C34" s="67"/>
      <c r="D34" s="67"/>
      <c r="E34" s="67"/>
      <c r="F34" s="67"/>
      <c r="G34" s="67"/>
      <c r="H34" s="67"/>
      <c r="I34" s="66"/>
      <c r="J34" s="67"/>
      <c r="K34" s="67"/>
    </row>
    <row r="35" ht="20" customHeight="1" spans="1:11" x14ac:dyDescent="0.25">
      <c r="A35" s="69" t="s">
        <v>171</v>
      </c>
      <c r="B35" s="63"/>
      <c r="C35" s="64"/>
      <c r="D35" s="64"/>
      <c r="E35" s="64"/>
      <c r="F35" s="64"/>
      <c r="G35" s="64"/>
      <c r="H35" s="64"/>
      <c r="I35" s="63"/>
      <c r="J35" s="64"/>
      <c r="K35" s="64"/>
    </row>
    <row r="36" ht="20" customHeight="1" spans="1:11" x14ac:dyDescent="0.25">
      <c r="A36" s="69" t="s">
        <v>172</v>
      </c>
      <c r="B36" s="66"/>
      <c r="C36" s="67"/>
      <c r="D36" s="67"/>
      <c r="E36" s="67"/>
      <c r="F36" s="67"/>
      <c r="G36" s="67"/>
      <c r="H36" s="67"/>
      <c r="I36" s="66"/>
      <c r="J36" s="67"/>
      <c r="K36" s="67"/>
    </row>
    <row r="38" ht="20" customHeight="1" spans="1:11" x14ac:dyDescent="0.25">
      <c r="A38" s="16" t="s">
        <v>22</v>
      </c>
      <c r="B38" s="16"/>
      <c r="C38" s="16"/>
      <c r="D38" s="16"/>
      <c r="E38" s="16"/>
      <c r="F38" s="16"/>
      <c r="G38" s="16"/>
      <c r="H38" s="17" t="s">
        <v>23</v>
      </c>
      <c r="I38" s="17"/>
      <c r="J38" s="17"/>
      <c r="K38" s="17"/>
    </row>
  </sheetData>
  <sheetProtection sheet="1" algorithmName="SHA-512" hashValue="XL1xgITbxF74goFbljKW4GHGcPsZomnAD2fidIY0+DpOhxMfiTYGXGCgvaNg8zMZQEGtFTE5p251eSKmpBwmEQ==" saltValue="KJUiJ/7pnLgRsodCNn3B9g==" spinCount="100000"/>
  <mergeCells count="5">
    <mergeCell ref="A1:H1"/>
    <mergeCell ref="A2:H2"/>
    <mergeCell ref="A3:H3"/>
    <mergeCell ref="A38:G38"/>
    <mergeCell ref="H38:K38"/>
  </mergeCells>
  <conditionalFormatting sqref="J7:J36">
    <cfRule type="cellIs" dxfId="15" priority="1" operator="equal">
      <formula>"Resuelto"</formula>
    </cfRule>
    <cfRule type="cellIs" dxfId="16" priority="2" operator="equal">
      <formula>"Pendiente"</formula>
    </cfRule>
  </conditionalFormatting>
  <dataValidations count="4">
    <dataValidation type="list" allowBlank="1" sqref="C7:C36">
      <formula1>Listas!$F$2:$F$9</formula1>
    </dataValidation>
    <dataValidation type="list" allowBlank="1" sqref="F7:F36">
      <formula1>"Roto,Obsoleto,Innecesario,Duplicado,Peligroso"</formula1>
    </dataValidation>
    <dataValidation type="list" allowBlank="1" sqref="G7:G36">
      <formula1>"Reparar,Reubicar,Donar,Vender,Desechar"</formula1>
    </dataValidation>
    <dataValidation type="list" allowBlank="1" sqref="J7:J36">
      <formula1>"Pendiente,Resuelto"</formula1>
    </dataValidation>
  </dataValidations>
  <printOptions horizontalCentered="1"/>
  <pageMargins left="0.35" right="0.35" top="0.4" bottom="0.55" header="0.2" footer="0.25"/>
  <pageSetup paperSize="1" orientation="landscape" fitToWidth="1" fitToHeight="0"/>
  <headerFooter>
    <oddFooter>&amp;R&amp;8SOL-F01 · v1.2 · Pág.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34</v>
      </c>
      <c r="B1" t="s">
        <v>35</v>
      </c>
      <c r="D1" t="s">
        <v>37</v>
      </c>
      <c r="F1" t="s">
        <v>173</v>
      </c>
    </row>
    <row r="2" spans="1:6" x14ac:dyDescent="0.25">
      <c r="A2" t="s">
        <v>174</v>
      </c>
      <c r="B2" t="s">
        <v>175</v>
      </c>
      <c r="D2" t="s">
        <v>176</v>
      </c>
      <c r="F2" t="s">
        <v>49</v>
      </c>
    </row>
    <row r="3" spans="1:6" x14ac:dyDescent="0.25">
      <c r="A3" t="s">
        <v>177</v>
      </c>
      <c r="B3" t="s">
        <v>175</v>
      </c>
      <c r="D3" t="s">
        <v>178</v>
      </c>
      <c r="F3" t="s">
        <v>59</v>
      </c>
    </row>
    <row r="4" spans="1:6" x14ac:dyDescent="0.25">
      <c r="A4" t="s">
        <v>179</v>
      </c>
      <c r="B4" t="s">
        <v>175</v>
      </c>
      <c r="D4" t="s">
        <v>180</v>
      </c>
      <c r="F4" t="s">
        <v>65</v>
      </c>
    </row>
    <row r="5" spans="1:6" x14ac:dyDescent="0.25">
      <c r="A5" t="s">
        <v>181</v>
      </c>
      <c r="B5" t="s">
        <v>175</v>
      </c>
      <c r="D5" t="s">
        <v>182</v>
      </c>
      <c r="F5" t="s">
        <v>71</v>
      </c>
    </row>
    <row r="6" spans="1:6" x14ac:dyDescent="0.25">
      <c r="A6" t="s">
        <v>183</v>
      </c>
      <c r="B6" t="s">
        <v>175</v>
      </c>
      <c r="D6" t="s">
        <v>184</v>
      </c>
      <c r="F6" t="s">
        <v>78</v>
      </c>
    </row>
    <row r="7" spans="1:6" x14ac:dyDescent="0.25">
      <c r="A7" t="s">
        <v>185</v>
      </c>
      <c r="B7" t="s">
        <v>175</v>
      </c>
      <c r="F7" t="s">
        <v>82</v>
      </c>
    </row>
    <row r="8" spans="1:6" x14ac:dyDescent="0.25">
      <c r="A8" t="s">
        <v>186</v>
      </c>
      <c r="B8" t="s">
        <v>175</v>
      </c>
      <c r="F8" t="s">
        <v>87</v>
      </c>
    </row>
    <row r="9" spans="1:6" x14ac:dyDescent="0.25">
      <c r="A9" t="s">
        <v>187</v>
      </c>
      <c r="B9" t="s">
        <v>175</v>
      </c>
      <c r="F9" t="s">
        <v>94</v>
      </c>
    </row>
    <row r="10" spans="1:2" x14ac:dyDescent="0.25">
      <c r="A10" t="s">
        <v>188</v>
      </c>
      <c r="B10" t="s">
        <v>175</v>
      </c>
    </row>
    <row r="11" spans="1:2" x14ac:dyDescent="0.25">
      <c r="A11" t="s">
        <v>189</v>
      </c>
      <c r="B11" t="s">
        <v>175</v>
      </c>
    </row>
    <row r="12" spans="1:2" x14ac:dyDescent="0.25">
      <c r="A12" t="s">
        <v>190</v>
      </c>
      <c r="B12" t="s">
        <v>191</v>
      </c>
    </row>
    <row r="13" spans="1:2" x14ac:dyDescent="0.25">
      <c r="A13" t="s">
        <v>192</v>
      </c>
      <c r="B13" t="s">
        <v>191</v>
      </c>
    </row>
    <row r="14" spans="1:2" x14ac:dyDescent="0.25">
      <c r="A14" t="s">
        <v>193</v>
      </c>
      <c r="B14" t="s">
        <v>191</v>
      </c>
    </row>
    <row r="15" spans="1:2" x14ac:dyDescent="0.25">
      <c r="A15" t="s">
        <v>194</v>
      </c>
      <c r="B15" t="s">
        <v>191</v>
      </c>
    </row>
    <row r="16" spans="1:2" x14ac:dyDescent="0.25">
      <c r="A16" t="s">
        <v>195</v>
      </c>
      <c r="B16" t="s">
        <v>191</v>
      </c>
    </row>
    <row r="17" spans="1:2" x14ac:dyDescent="0.25">
      <c r="A17" t="s">
        <v>196</v>
      </c>
      <c r="B17" t="s">
        <v>191</v>
      </c>
    </row>
    <row r="18" spans="1:2" x14ac:dyDescent="0.25">
      <c r="A18" t="s">
        <v>197</v>
      </c>
      <c r="B18" t="s">
        <v>191</v>
      </c>
    </row>
    <row r="19" spans="1:2" x14ac:dyDescent="0.25">
      <c r="A19" t="s">
        <v>198</v>
      </c>
      <c r="B19" t="s">
        <v>191</v>
      </c>
    </row>
    <row r="20" spans="1:2" x14ac:dyDescent="0.25">
      <c r="A20" t="s">
        <v>199</v>
      </c>
      <c r="B20" t="s">
        <v>191</v>
      </c>
    </row>
    <row r="21" spans="1:2" x14ac:dyDescent="0.25">
      <c r="A21" t="s">
        <v>200</v>
      </c>
      <c r="B21" t="s">
        <v>191</v>
      </c>
    </row>
  </sheetData>
  <sheetProtection sheet="1" algorithmName="SHA-512" hashValue="FvkMdIOt9F78S3SLDJIi2vaSNc6NMgYqAbBpylvNiCQ0yK3S223Yy+l0jUwdHqqkrmNfwSyjDhYTN7Rvxr26/A==" saltValue="LH9L+xozgW49IR/kqxs7i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Inspección</vt:lpstr>
      <vt:lpstr>Resultado</vt:lpstr>
      <vt:lpstr>Hallazgos</vt:lpstr>
      <vt:lpstr>Tarjeta Roja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RCMA</dc:creator>
  <dc:title/>
  <dc:subject/>
  <dc:description/>
  <cp:keywords/>
  <cp:category/>
  <cp:lastModifiedBy>Unknown</cp:lastModifiedBy>
  <dcterms:created xsi:type="dcterms:W3CDTF">2026-10-28T22:27:09Z</dcterms:created>
  <dcterms:modified xsi:type="dcterms:W3CDTF">2026-10-28T22:27:09Z</dcterms:modified>
</cp:coreProperties>
</file>