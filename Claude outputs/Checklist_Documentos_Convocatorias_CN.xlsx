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hecklist" state="visible" r:id="rId5"/>
    <sheet sheetId="3" name="Catálogo CN" state="visible" r:id="rId6"/>
  </sheets>
  <definedNames>
    <definedName name="_xlnm.Print_Titles" localSheetId="1">'Checklist'!$7:$7</definedName>
    <definedName name="_xlnm.Print_Titles" localSheetId="2">'Catálogo CN'!$6:$6</definedName>
  </definedNames>
  <calcPr calcId="171027"/>
</workbook>
</file>

<file path=xl/sharedStrings.xml><?xml version="1.0" encoding="utf-8"?>
<sst xmlns="http://schemas.openxmlformats.org/spreadsheetml/2006/main" count="877" uniqueCount="240">
  <si>
    <t>RED DE COLEGIOS MANO AMIGA  ·  CUMPLIMIENTO NORMATIVO</t>
  </si>
  <si>
    <t>DOCUMENTOS PARA CONVOCATORIAS</t>
  </si>
  <si>
    <t>Checklist contra el Catálogo de Cumplimiento del Sistema RCMA · 28/10/2026</t>
  </si>
  <si>
    <t>DOCUMENTOS QUE PIDEN</t>
  </si>
  <si>
    <t>EN EL SISTEMA</t>
  </si>
  <si>
    <t>PARCIAL</t>
  </si>
  <si>
    <t>NO ESTÁN</t>
  </si>
  <si>
    <t>COBERTURA (SÍ + ½ PARCIAL)</t>
  </si>
  <si>
    <t>AVANCE POR CATEGORÍA</t>
  </si>
  <si>
    <t>Categoría</t>
  </si>
  <si>
    <t>Documentos</t>
  </si>
  <si>
    <t>En el sistema</t>
  </si>
  <si>
    <t>Parcial</t>
  </si>
  <si>
    <t>No están</t>
  </si>
  <si>
    <t>Cobertura</t>
  </si>
  <si>
    <t>Documentación legal</t>
  </si>
  <si>
    <t>Documentación fiscal</t>
  </si>
  <si>
    <t>Documentación contable</t>
  </si>
  <si>
    <t>Documentos del colegio</t>
  </si>
  <si>
    <t>TOTAL</t>
  </si>
  <si>
    <t>CÓMO LEERLO</t>
  </si>
  <si>
    <t>Sí</t>
  </si>
  <si>
    <t>El catálogo de Cumplimiento ya tiene un concepto que cubre el documento; se gestiona en Registro de Cumplimiento.</t>
  </si>
  <si>
    <t>Hay un concepto relacionado, pero no es el mismo documento o lo cubre solo en parte (ver columna "Concepto del catálogo").</t>
  </si>
  <si>
    <t>No</t>
  </si>
  <si>
    <t>No existe en el catálogo. La columna "Sugerencia" indica si conviene agregarlo a Cumplimiento o si pertenece a otra área.</t>
  </si>
  <si>
    <t>Fuente: "Relación Documentos para Convocatorias" (hoja Documentación) y Catálogo de Cumplimiento del Sistema RCMA (61 conceptos activos al 28/10/2026). La columna "¿En el sistema?" se puede cambiar y todo el resumen se recalcula.</t>
  </si>
  <si>
    <t>Colegios Mano Amiga — Juntos Transformando Vidas.</t>
  </si>
  <si>
    <t>Checklist Convocatorias · Cumplimiento · Sistema RCMA</t>
  </si>
  <si>
    <t>CHECKLIST · DOCUMENTOS PARA CONVOCATORIAS</t>
  </si>
  <si>
    <t>¿Lo tengo en el módulo de Cumplimiento? · Cruce documento por documento</t>
  </si>
  <si>
    <t>Estatus: Sí = ya está en el catálogo · Parcial = hay un concepto relacionado · No = no está. Las celdas en crema se pueden editar.</t>
  </si>
  <si>
    <t>No.</t>
  </si>
  <si>
    <t>Documento que pide la convocatoria</t>
  </si>
  <si>
    <t>¿En el sistema?</t>
  </si>
  <si>
    <t>Concepto del catálogo de Cumplimiento</t>
  </si>
  <si>
    <t>Materia</t>
  </si>
  <si>
    <t>Periodicidad</t>
  </si>
  <si>
    <t>Sugerencia</t>
  </si>
  <si>
    <t>Observaciones</t>
  </si>
  <si>
    <t>DOCUMENTACIÓN LEGAL</t>
  </si>
  <si>
    <t>Acta constitutiva</t>
  </si>
  <si>
    <t>#22 Acta Constitutiva de la Sociedad / Asociación</t>
  </si>
  <si>
    <t>Jurídico</t>
  </si>
  <si>
    <t>Fijo</t>
  </si>
  <si>
    <t>Ya está en Cumplimiento</t>
  </si>
  <si>
    <t/>
  </si>
  <si>
    <t>Protocolizaciones</t>
  </si>
  <si>
    <t>Agregar al catálogo CN</t>
  </si>
  <si>
    <t>Hoy van dentro del Acta Constitutiva; cambian con cada nuevo Director o Administrador.</t>
  </si>
  <si>
    <t>Poder del Representante Legal</t>
  </si>
  <si>
    <t>#26 Poder Notarial del Representante Legal</t>
  </si>
  <si>
    <t>Identificación Oficial del Representante Legal</t>
  </si>
  <si>
    <t>#25 Identificación Oficial del Representante Legal</t>
  </si>
  <si>
    <t>Programa o Protocolo Interno de Protección Civil</t>
  </si>
  <si>
    <t>#40 Programa Interno de Protección Civil (PIPC)</t>
  </si>
  <si>
    <t>Protección Civil</t>
  </si>
  <si>
    <t>Anual</t>
  </si>
  <si>
    <t>Constancia de Actividades Sociales (vigente)</t>
  </si>
  <si>
    <t>—</t>
  </si>
  <si>
    <t>CURP del Representante Legal</t>
  </si>
  <si>
    <t>Podría ir junto con la Identificación Oficial (#25).</t>
  </si>
  <si>
    <t>RFC del Representante Legal</t>
  </si>
  <si>
    <t>Inscripción al Registro Público</t>
  </si>
  <si>
    <t>Normalmente viene dentro del Acta Constitutiva.</t>
  </si>
  <si>
    <t>Número de Registro Patronal</t>
  </si>
  <si>
    <t>#13 Registro Patronal IMSS con Grado de Riesgo</t>
  </si>
  <si>
    <t>Gestión de Riesgos</t>
  </si>
  <si>
    <t>DOCUMENTACIÓN FISCAL</t>
  </si>
  <si>
    <t>RI - Inscripción al SAT</t>
  </si>
  <si>
    <t>#7 Constancia de Situación Fiscal (RFC)</t>
  </si>
  <si>
    <t>Fiscal</t>
  </si>
  <si>
    <t>La Constancia de Situación Fiscal cubre los datos de inscripción.</t>
  </si>
  <si>
    <t>Cédula Fiscal (RFC del Colegio)</t>
  </si>
  <si>
    <t>Constancia de Situación Fiscal (vigente)</t>
  </si>
  <si>
    <t>Mensual</t>
  </si>
  <si>
    <t>Opinión de Cumplimiento SAT (vigente)</t>
  </si>
  <si>
    <t>#8 Opinión de Cumplimiento de Obligaciones Fiscales (32-D)</t>
  </si>
  <si>
    <t>Última publicación en el DOF, Anexo 14 (anual)</t>
  </si>
  <si>
    <t>Materia Donatarias.</t>
  </si>
  <si>
    <t>Documento de autorización de donataria expedida por el SAT/SHCP</t>
  </si>
  <si>
    <t>Carta de Donataria actualizada del SAT</t>
  </si>
  <si>
    <t>Autorización de SAT desde su origen</t>
  </si>
  <si>
    <t>Prevención de antilavado de dinero (formato y documentación del donante)</t>
  </si>
  <si>
    <t>#10 Aviso de Privacidad Integral (LFPDPPP) (Ley Antilavado)</t>
  </si>
  <si>
    <t>Fiscal / Comercial</t>
  </si>
  <si>
    <t>El concepto #10 menciona Ley Antilavado junto con Aviso de Privacidad; el formato del donante no está separado.</t>
  </si>
  <si>
    <t>Validación para recibir donativos del extranjero</t>
  </si>
  <si>
    <t>Carta de Acreditación de Actividades SAT (modificación de estatutos)</t>
  </si>
  <si>
    <t>DOCUMENTACIÓN CONTABLE</t>
  </si>
  <si>
    <t>Carátula Bancaria (mensual)</t>
  </si>
  <si>
    <t>Fuera de CN · Contabilidad / Finanzas</t>
  </si>
  <si>
    <t>Estados Financieros (año anterior)</t>
  </si>
  <si>
    <t>Declaración Anual (año anterior)</t>
  </si>
  <si>
    <t>Si se quiere en CN, iría en materia Fiscal.</t>
  </si>
  <si>
    <t>Balanza de comprobación (año anterior)</t>
  </si>
  <si>
    <t>Balanza General (año anterior)</t>
  </si>
  <si>
    <t>Informe de Actividades (año en curso)</t>
  </si>
  <si>
    <t>Presupuesto Anual del año en curso (ingresos - egresos)</t>
  </si>
  <si>
    <t>Último Presupuesto anual presentado a la Junta de Asistencia Privada (MA Cima, FIADES y FSA)</t>
  </si>
  <si>
    <t>Solo aplica a MA Cima, FIADES y FSA.</t>
  </si>
  <si>
    <t>Último Informe anual presentado a la Junta de Asistencia Privada (MA Cima, FIADES y FSA)</t>
  </si>
  <si>
    <t>DOCUMENTOS DEL COLEGIO</t>
  </si>
  <si>
    <t>Licencia de Funcionamiento</t>
  </si>
  <si>
    <t>#17 Licencia de Funcionamiento Municipal</t>
  </si>
  <si>
    <t>Inmobiliaria</t>
  </si>
  <si>
    <t>Criterios o procedimiento para seleccionar a la población atendida (estudio socioeconómico)</t>
  </si>
  <si>
    <t>Fuera de CN · institucional / Dirección</t>
  </si>
  <si>
    <t>Diagrama de Teoría de Cambio del Modelo de Intervención</t>
  </si>
  <si>
    <t>Fuera de CN · Procuración / Comunicación</t>
  </si>
  <si>
    <t>Currículum del Director del Colegio</t>
  </si>
  <si>
    <t>#61 Autorización / Nombramiento del Director</t>
  </si>
  <si>
    <t>Educativo</t>
  </si>
  <si>
    <t>El catálogo tiene la Autorización / Nombramiento del Director, no su currículum.</t>
  </si>
  <si>
    <t>Organigrama general del colegio</t>
  </si>
  <si>
    <t>Cartas de recomendación de donantes activos</t>
  </si>
  <si>
    <t>Presentación institucional y del colegio con proyectos validados</t>
  </si>
  <si>
    <t>Informe Anual Institucional</t>
  </si>
  <si>
    <t>Número de docentes y administrativos por género</t>
  </si>
  <si>
    <t>#4 Planta Docente y Directiva (Títulos y Cédulas)</t>
  </si>
  <si>
    <t>Donatarias / RVOE</t>
  </si>
  <si>
    <t>El concepto #4 pide títulos y cédulas de la planta docente, no el conteo por género.</t>
  </si>
  <si>
    <t>Planeación Anual Operativa (cronograma de actividades)</t>
  </si>
  <si>
    <t>Calendario de actividades del ciclo en curso</t>
  </si>
  <si>
    <t>Mapa curricular (asignaturas por grado escolar)</t>
  </si>
  <si>
    <t>#5 Planes, Programas de Estudio y Horarios</t>
  </si>
  <si>
    <t>Planes y Programas de Estudio (#5) lo cubre en buena parte.</t>
  </si>
  <si>
    <t>Reglamento Interno</t>
  </si>
  <si>
    <t>#6 Reglamento Escolar Interno</t>
  </si>
  <si>
    <t>Aviso de Privacidad</t>
  </si>
  <si>
    <t>Video institucional actualizado</t>
  </si>
  <si>
    <t>Logotipo del colegio</t>
  </si>
  <si>
    <t>Fotos (instalaciones y alumnado)</t>
  </si>
  <si>
    <t>Premios y reconocimientos nacionales y estatales</t>
  </si>
  <si>
    <t>Manual de Identidad</t>
  </si>
  <si>
    <t>Costo de colegiatura por sección</t>
  </si>
  <si>
    <t>Comprobante de domicilio (vigente)</t>
  </si>
  <si>
    <t>#16 Comprobante de Domicilio (CFE o Agua)</t>
  </si>
  <si>
    <t>Bimestral</t>
  </si>
  <si>
    <t>Debe coincidir con el domicilio de la Constancia de Situación Fiscal.</t>
  </si>
  <si>
    <t>Estadísticas de alumnado (egresados del último grado)</t>
  </si>
  <si>
    <t>Medición de impacto</t>
  </si>
  <si>
    <t>Código de Ética y Conducta</t>
  </si>
  <si>
    <t>Materia Jurídico.</t>
  </si>
  <si>
    <t>Predial</t>
  </si>
  <si>
    <t>#18 Boleta Predial Vigente</t>
  </si>
  <si>
    <t>Uso de suelo</t>
  </si>
  <si>
    <t>#19 Dictamen / Licencia de Uso de Suelo Educativo</t>
  </si>
  <si>
    <t>#40 Programa Interno de Protección Civil (PIPC) · #43 Visto Bueno de Programa de Protección Civil (Municipal o Estatal)</t>
  </si>
  <si>
    <t>PIPC (#40) y Visto Bueno de PC (#43).</t>
  </si>
  <si>
    <t>RVOEs (todas las secciones del colegio)</t>
  </si>
  <si>
    <t>#1 Acuerdo de Incorporación RVOE Iniciales · #3 Refrendo de Incorporación de RVOE</t>
  </si>
  <si>
    <t>Acuerdo RVOE (#1) y su refrendo anual (#3).</t>
  </si>
  <si>
    <t>Documentos de convenios (empresas o universidades)</t>
  </si>
  <si>
    <t>#2 Convenio de Apoyo Económico</t>
  </si>
  <si>
    <t>El #2 es Convenio de Apoyo Económico; los convenios con empresas o universidades no están.</t>
  </si>
  <si>
    <t>Programas del colegio (SEP y modelo educativo)</t>
  </si>
  <si>
    <t>Contrato de Comodato (si aplica)</t>
  </si>
  <si>
    <t>#23 Contrato de Comodato o Arrendamiento</t>
  </si>
  <si>
    <t>Cartas de agradecimiento a donantes nuevos e históricos</t>
  </si>
  <si>
    <t>Atribuciones y obligaciones del Patronato (FIADES, MA Cima, FSA)</t>
  </si>
  <si>
    <t>Solo donde hay Patronato.</t>
  </si>
  <si>
    <t>Actas o minutas de las últimas 3 sesiones del Patronato</t>
  </si>
  <si>
    <t>CATÁLOGO DE CUMPLIMIENTO</t>
  </si>
  <si>
    <t>Conceptos activos en el Sistema RCMA (61) · ¿cuáles pide la convocatoria?</t>
  </si>
  <si>
    <t>#</t>
  </si>
  <si>
    <t>Concepto</t>
  </si>
  <si>
    <t>¿Lo pide la convocatoria?</t>
  </si>
  <si>
    <t>Documento de la convocatoria</t>
  </si>
  <si>
    <t>Acuerdo de Incorporación RVOE Iniciales</t>
  </si>
  <si>
    <t>Único trámite</t>
  </si>
  <si>
    <t>Convenio de Apoyo Económico</t>
  </si>
  <si>
    <t>Refrendo de Incorporación de RVOE</t>
  </si>
  <si>
    <t>Planta Docente y Directiva (Títulos y Cédulas)</t>
  </si>
  <si>
    <t>Planes, Programas de Estudio y Horarios</t>
  </si>
  <si>
    <t>Mapa curricular (asignaturas por grado escolar) · Programas del colegio (SEP y modelo educativo)</t>
  </si>
  <si>
    <t>Reglamento Escolar Interno</t>
  </si>
  <si>
    <t>Constancia de Situación Fiscal (RFC)</t>
  </si>
  <si>
    <t>Trimestral</t>
  </si>
  <si>
    <t>RI - Inscripción al SAT · Cédula Fiscal (RFC del Colegio) · Constancia de Situación Fiscal (vigente)</t>
  </si>
  <si>
    <t>Opinión de Cumplimiento de Obligaciones Fiscales (32-D)</t>
  </si>
  <si>
    <t>Contrato de Adhesión (PROFECO)</t>
  </si>
  <si>
    <t>Aviso de Privacidad Integral (LFPDPPP) (Ley Antilavado)</t>
  </si>
  <si>
    <t>Prevención de antilavado de dinero (formato y documentación del donante) · Aviso de Privacidad</t>
  </si>
  <si>
    <t>Póliza de Seguro Escolar (Alumnos)</t>
  </si>
  <si>
    <t>Registro Patronal IMSS con Grado de Riesgo</t>
  </si>
  <si>
    <t>Seguro de Inmuebles y Contenidos</t>
  </si>
  <si>
    <t>Seguro de Responsabilidad Civil Generación/Terceros</t>
  </si>
  <si>
    <t>Comprobante de Domicilio (CFE o Agua)</t>
  </si>
  <si>
    <t>Licencia de Funcionamiento Municipal</t>
  </si>
  <si>
    <t>Boleta Predial Vigente</t>
  </si>
  <si>
    <t>Dictamen / Licencia de Uso de Suelo Educativo</t>
  </si>
  <si>
    <t>Licencia de Anuncios y Publicidad Exterior</t>
  </si>
  <si>
    <t>Evaluación de Impacto Estatal (COIME)</t>
  </si>
  <si>
    <t>Acta Constitutiva de la Sociedad / Asociación</t>
  </si>
  <si>
    <t>Acta constitutiva · Protocolizaciones · Inscripción al Registro Público</t>
  </si>
  <si>
    <t>Contrato de Comodato o Arrendamiento</t>
  </si>
  <si>
    <t>Escrituras del Inmueble</t>
  </si>
  <si>
    <t>Cada 10 años</t>
  </si>
  <si>
    <t>Poder Notarial del Representante Legal</t>
  </si>
  <si>
    <t>Reglamento Interior de Trabajo Depositado</t>
  </si>
  <si>
    <t>Constancia de Seguridad Estructural (DRO)</t>
  </si>
  <si>
    <t>Construcción</t>
  </si>
  <si>
    <t>Memoria de Cálculo y Planos As-Built</t>
  </si>
  <si>
    <t>Comité Interno de Protección Civil</t>
  </si>
  <si>
    <t>Cronograma de Mantenimiento en Instalaciones</t>
  </si>
  <si>
    <t>Diagrama Unifilar de Instalaciones Eléctricas</t>
  </si>
  <si>
    <t>Dictamen de Gas (LP / Natural)</t>
  </si>
  <si>
    <t>Dictamen Eléctrico (UVIE)</t>
  </si>
  <si>
    <t>Plan de Continuidad de Operaciones</t>
  </si>
  <si>
    <t>Plano: Accesibilidad para Personas con Discapacidad</t>
  </si>
  <si>
    <t>Plano: Cajones de Estacionamiento y Ascenso/Descenso</t>
  </si>
  <si>
    <t>Plano: Rutas de Evacuación y Equipos de Emergencia</t>
  </si>
  <si>
    <t>Plano: Ubicación de Botiquines de Primeros Auxilios</t>
  </si>
  <si>
    <t>Programa Interno de Protección Civil (PIPC)</t>
  </si>
  <si>
    <t>Programa o Protocolo Interno de Protección Civil · Protección Civil</t>
  </si>
  <si>
    <t>Registro de Constancia Estructural</t>
  </si>
  <si>
    <t>Sistema de Alerta Sísmica (Bitacora de Pruebas y Mantenimiento)</t>
  </si>
  <si>
    <t>Visto Bueno de Programa de Protección Civil (Municipal o Estatal)</t>
  </si>
  <si>
    <t>Visto Bueno de Seguridad y Operación (Visto Bueno de Bomberos)</t>
  </si>
  <si>
    <t>Registro del Consultor / Tercer Acreditado</t>
  </si>
  <si>
    <t>Constancias de Capacitación de Brigadistas (DC-3)</t>
  </si>
  <si>
    <t>Calendario y Bitácora de Simulacros</t>
  </si>
  <si>
    <t>Carta Responsiva y Mantenimiento de Extintores</t>
  </si>
  <si>
    <t>Señalética Oficial Instalada (Bitacora e Inventario)</t>
  </si>
  <si>
    <t>Detectores de Humo y Alarma Contraincendios (Bitacora e Inventario)</t>
  </si>
  <si>
    <t>Lámparas de Iluminación de Emergencia (Bitacora e Inventario)</t>
  </si>
  <si>
    <t>Botiquines e Insumos Médicos Equipados (Bitacora e Inventario)</t>
  </si>
  <si>
    <t>Bitácora de Mantenimiento a Subestación / Planta</t>
  </si>
  <si>
    <t>Certificado de Fumigación y Control de Plagas</t>
  </si>
  <si>
    <t>Salud y Sanidad</t>
  </si>
  <si>
    <t>Licencia / Aviso Sanitario para Cafetería / Comedor</t>
  </si>
  <si>
    <t>Análisis Fisicoquímico y Bacteriológico del Agua</t>
  </si>
  <si>
    <t>Semestral</t>
  </si>
  <si>
    <t>Bitácora de Lavado y Desinfección de Cisternas</t>
  </si>
  <si>
    <t>Estudio de Factibilidad Educativa</t>
  </si>
  <si>
    <t>Autorización de la Denominación del Plantel</t>
  </si>
  <si>
    <t>Autorización / Nombramiento del Director</t>
  </si>
  <si>
    <t>Clave de Centro de Trabajo (CCT)</t>
  </si>
  <si>
    <t>Acervo Bibliográfico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</si>
</sst>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color theme="1"/>
      <family val="2"/>
      <scheme val="minor"/>
      <sz val="11"/>
      <name val="Calibri"/>
    </font>
    <font>
      <b/>
      <color rgb="FFC7D7EA"/>
      <sz val="8"/>
      <name val="Calibri"/>
    </font>
    <font>
      <b/>
      <color rgb="FFFFFFFF"/>
      <sz val="18"/>
      <name val="Calibri"/>
    </font>
    <font>
      <color rgb="FFE2E8F0"/>
      <sz val="9.5"/>
      <name val="Calibri"/>
    </font>
    <font>
      <b/>
      <color rgb="FF64748B"/>
      <sz val="7.5"/>
      <name val="Calibri"/>
    </font>
    <font>
      <b/>
      <color rgb="FF1F4E79"/>
      <sz val="16"/>
      <name val="Calibri"/>
    </font>
    <font>
      <b/>
      <color rgb="FF166534"/>
      <sz val="16"/>
      <name val="Calibri"/>
    </font>
    <font>
      <b/>
      <color rgb="FF92400E"/>
      <sz val="16"/>
      <name val="Calibri"/>
    </font>
    <font>
      <b/>
      <color rgb="FFDC2626"/>
      <sz val="16"/>
      <name val="Calibri"/>
    </font>
    <font>
      <b/>
      <color rgb="FF1F4E79"/>
      <sz val="10"/>
      <name val="Calibri"/>
    </font>
    <font>
      <b/>
      <color rgb="FFFFFFFF"/>
      <sz val="8.5"/>
      <name val="Calibri"/>
    </font>
    <font>
      <color rgb="FF1E293B"/>
      <sz val="10"/>
      <name val="Calibri"/>
    </font>
    <font>
      <b/>
      <color rgb="FF1E293B"/>
      <sz val="10"/>
      <name val="Calibri"/>
    </font>
    <font>
      <b/>
      <color rgb="FF1F4E79"/>
      <sz val="10.5"/>
      <name val="Calibri"/>
    </font>
    <font>
      <b/>
      <color rgb="FFFFFFFF"/>
      <sz val="9"/>
      <name val="Calibri"/>
    </font>
    <font>
      <sz val="9.5"/>
      <name val="Calibri"/>
    </font>
    <font>
      <i/>
      <color rgb="FF64748B"/>
      <sz val="8.5"/>
      <name val="Calibri"/>
    </font>
    <font>
      <i/>
      <color rgb="FFFFFFFF"/>
      <sz val="8.5"/>
      <name val="Calibri"/>
    </font>
    <font>
      <color rgb="FFCBD5E1"/>
      <sz val="8.5"/>
      <name val="Calibri"/>
    </font>
    <font>
      <b/>
      <color rgb="FF1F4E79"/>
      <sz val="9.5"/>
      <name val="Calibri"/>
    </font>
    <font>
      <b/>
      <color rgb="FF94A3B8"/>
      <sz val="9.5"/>
      <name val="Calibri"/>
    </font>
    <font>
      <color rgb="FF64748B"/>
      <sz val="7.5"/>
      <name val="Calibri"/>
    </font>
    <font>
      <color rgb="FF1E293B"/>
      <sz val="9.5"/>
      <name val="Calibri"/>
    </font>
    <font>
      <b/>
      <sz val="10"/>
      <name val="Calibri"/>
    </font>
    <font>
      <b/>
      <color rgb="FF166534"/>
      <sz val="9.5"/>
      <name val="Calibri"/>
    </font>
    <font>
      <b/>
      <color rgb="FF64748B"/>
      <sz val="9.5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4598A"/>
      </patternFill>
    </fill>
    <fill>
      <patternFill patternType="solid">
        <fgColor rgb="FFE87722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EAF0F7"/>
      </patternFill>
    </fill>
    <fill>
      <patternFill patternType="solid">
        <fgColor rgb="FF2E7D32"/>
      </patternFill>
    </fill>
    <fill>
      <patternFill patternType="solid">
        <fgColor rgb="FFC98A00"/>
      </patternFill>
    </fill>
    <fill>
      <patternFill patternType="solid">
        <fgColor rgb="FFC62828"/>
      </patternFill>
    </fill>
    <fill>
      <patternFill patternType="solid">
        <fgColor rgb="FFFFF7ED"/>
      </patternFill>
    </fill>
  </fills>
  <borders count="10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ck">
        <color rgb="FF1F4E79"/>
      </top>
      <bottom/>
      <diagonal/>
    </border>
    <border>
      <left style="thin">
        <color rgb="FFE2E8F0"/>
      </left>
      <right style="thin">
        <color rgb="FFE2E8F0"/>
      </right>
      <top style="thick">
        <color rgb="FFE87722"/>
      </top>
      <bottom/>
      <diagonal/>
    </border>
    <border>
      <left/>
      <right style="thin">
        <color rgb="FFE2E8F0"/>
      </right>
      <top style="thick">
        <color rgb="FFE87722"/>
      </top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ck">
        <color rgb="FFE87722"/>
      </left>
      <right/>
      <top/>
      <bottom/>
      <diagonal/>
    </border>
    <border>
      <left/>
      <right style="thin">
        <color rgb="FF2F5F8F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EEF2F7"/>
      </right>
      <top/>
      <bottom style="thin">
        <color rgb="FFE2E8F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vertical="center" indent="1"/>
    </xf>
    <xf numFmtId="0" fontId="0" fillId="3" borderId="0" xfId="0" applyFill="1"/>
    <xf numFmtId="0" fontId="0" fillId="4" borderId="0" xfId="0" applyFill="1"/>
    <xf numFmtId="0" fontId="2" fillId="2" borderId="0" xfId="0" applyFont="1" applyFill="1" applyAlignment="1">
      <alignment vertical="center" indent="1"/>
    </xf>
    <xf numFmtId="0" fontId="3" fillId="2" borderId="0" xfId="0" applyFont="1" applyFill="1" applyAlignment="1">
      <alignment vertical="center" indent="1"/>
    </xf>
    <xf numFmtId="0" fontId="4" fillId="5" borderId="1" xfId="0" applyFont="1" applyFill="1" applyBorder="1" applyAlignment="1">
      <alignment vertical="bottom" indent="1"/>
    </xf>
    <xf numFmtId="0" fontId="4" fillId="5" borderId="2" xfId="0" applyFont="1" applyFill="1" applyBorder="1" applyAlignment="1">
      <alignment vertical="bottom" indent="1"/>
    </xf>
    <xf numFmtId="0" fontId="4" fillId="5" borderId="3" xfId="0" applyFont="1" applyFill="1" applyBorder="1" applyAlignment="1">
      <alignment vertical="bottom" indent="1"/>
    </xf>
    <xf numFmtId="0" fontId="5" fillId="5" borderId="4" xfId="0" applyFont="1" applyFill="1" applyBorder="1" applyAlignment="1">
      <alignment vertical="center" indent="1"/>
    </xf>
    <xf numFmtId="0" fontId="6" fillId="5" borderId="4" xfId="0" applyFont="1" applyFill="1" applyBorder="1" applyAlignment="1">
      <alignment vertical="center" indent="1"/>
    </xf>
    <xf numFmtId="0" fontId="7" fillId="5" borderId="4" xfId="0" applyFont="1" applyFill="1" applyBorder="1" applyAlignment="1">
      <alignment vertical="center" indent="1"/>
    </xf>
    <xf numFmtId="0" fontId="8" fillId="5" borderId="4" xfId="0" applyFont="1" applyFill="1" applyBorder="1" applyAlignment="1">
      <alignment vertical="center" indent="1"/>
    </xf>
    <xf numFmtId="9" fontId="5" fillId="5" borderId="5" xfId="0" applyNumberFormat="1" applyFont="1" applyFill="1" applyBorder="1" applyAlignment="1">
      <alignment vertical="center" indent="1"/>
    </xf>
    <xf numFmtId="0" fontId="9" fillId="6" borderId="6" xfId="0" applyFont="1" applyFill="1" applyBorder="1" applyAlignment="1">
      <alignment vertical="center" indent="1"/>
    </xf>
    <xf numFmtId="0" fontId="10" fillId="2" borderId="7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center" vertical="center"/>
    </xf>
    <xf numFmtId="9" fontId="12" fillId="0" borderId="8" xfId="0" applyNumberFormat="1" applyFont="1" applyBorder="1" applyAlignment="1">
      <alignment horizontal="center" vertical="center"/>
    </xf>
    <xf numFmtId="0" fontId="9" fillId="7" borderId="8" xfId="0" applyFont="1" applyFill="1" applyBorder="1" applyAlignment="1">
      <alignment horizontal="left" vertical="center" indent="1"/>
    </xf>
    <xf numFmtId="0" fontId="11" fillId="7" borderId="8" xfId="0" applyFont="1" applyFill="1" applyBorder="1" applyAlignment="1">
      <alignment horizontal="center" vertical="center"/>
    </xf>
    <xf numFmtId="9" fontId="12" fillId="7" borderId="8" xfId="0" applyNumberFormat="1" applyFont="1" applyFill="1" applyBorder="1" applyAlignment="1">
      <alignment horizontal="center" vertical="center"/>
    </xf>
    <xf numFmtId="0" fontId="13" fillId="8" borderId="0" xfId="0" applyFont="1" applyFill="1" applyAlignment="1">
      <alignment horizontal="left" vertical="center" indent="1"/>
    </xf>
    <xf numFmtId="0" fontId="13" fillId="8" borderId="0" xfId="0" applyFont="1" applyFill="1" applyAlignment="1">
      <alignment horizontal="center" vertical="center"/>
    </xf>
    <xf numFmtId="9" fontId="13" fillId="8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5" fillId="0" borderId="8" xfId="0" applyFont="1" applyBorder="1" applyAlignment="1">
      <alignment vertical="center" wrapText="1" indent="1"/>
    </xf>
    <xf numFmtId="0" fontId="14" fillId="10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2" borderId="0" xfId="0" applyFont="1" applyFill="1" applyAlignment="1">
      <alignment vertical="center" indent="1"/>
    </xf>
    <xf numFmtId="0" fontId="18" fillId="2" borderId="0" xfId="0" applyFont="1" applyFill="1" applyAlignment="1">
      <alignment horizontal="right" vertical="center" indent="1"/>
    </xf>
    <xf numFmtId="0" fontId="16" fillId="0" borderId="0" xfId="0" applyFont="1"/>
    <xf numFmtId="0" fontId="19" fillId="8" borderId="6" xfId="0" applyFont="1" applyFill="1" applyBorder="1" applyAlignment="1">
      <alignment vertical="center" indent="1"/>
    </xf>
    <xf numFmtId="0" fontId="20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3" fillId="12" borderId="9" xfId="0" applyFont="1" applyFill="1" applyBorder="1" applyAlignment="1" applyProtection="1">
      <alignment horizontal="center" vertical="center" wrapText="1"/>
      <protection locked="0"/>
    </xf>
    <xf numFmtId="0" fontId="22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/>
    </xf>
    <xf numFmtId="0" fontId="22" fillId="12" borderId="9" xfId="0" applyFont="1" applyFill="1" applyBorder="1" applyAlignment="1" applyProtection="1">
      <alignment horizontal="left" vertical="center" wrapText="1"/>
      <protection locked="0"/>
    </xf>
    <xf numFmtId="0" fontId="20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 wrapText="1"/>
    </xf>
    <xf numFmtId="0" fontId="20" fillId="7" borderId="8" xfId="0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left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7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color rgb="FF166534"/>
      </font>
    </dxf>
    <dxf>
      <font>
        <b/>
        <color rgb="FF991B1B"/>
      </font>
    </dxf>
    <dxf>
      <font>
        <b/>
        <color rgb="FF166534"/>
      </font>
      <fill>
        <patternFill patternType="solid">
          <fgColor rgb="FFDCFCE7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991B1B"/>
      </font>
      <fill>
        <patternFill patternType="solid">
          <f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4</xdr:col>
      <xdr:colOff>600075</xdr:colOff>
      <xdr:row>0</xdr:row>
      <xdr:rowOff>38100</xdr:rowOff>
    </xdr:from>
    <xdr:ext cx="1333500" cy="51547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absolute">
    <xdr:from>
      <xdr:col>8</xdr:col>
      <xdr:colOff>923925</xdr:colOff>
      <xdr:row>0</xdr:row>
      <xdr:rowOff>38100</xdr:rowOff>
    </xdr:from>
    <xdr:ext cx="1428750" cy="55228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absolute">
    <xdr:from>
      <xdr:col>5</xdr:col>
      <xdr:colOff>885825</xdr:colOff>
      <xdr:row>0</xdr:row>
      <xdr:rowOff>38100</xdr:rowOff>
    </xdr:from>
    <xdr:ext cx="1333500" cy="51547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3" customWidth="1"/>
    <col min="6" max="6" width="16" customWidth="1"/>
  </cols>
  <sheetData>
    <row r="1" ht="17" customHeight="1" spans="1:6" x14ac:dyDescent="0.25">
      <c r="A1" s="1" t="s">
        <v>0</v>
      </c>
      <c r="B1" s="1"/>
      <c r="C1" s="1"/>
      <c r="D1" s="1"/>
      <c r="E1" s="2"/>
      <c r="F1" s="3"/>
    </row>
    <row r="2" ht="30" customHeight="1" spans="1:6" x14ac:dyDescent="0.25">
      <c r="A2" s="4" t="s">
        <v>1</v>
      </c>
      <c r="B2" s="4"/>
      <c r="C2" s="4"/>
      <c r="D2" s="4"/>
      <c r="E2" s="2"/>
      <c r="F2" s="3"/>
    </row>
    <row r="3" ht="17" customHeight="1" spans="1:6" x14ac:dyDescent="0.25">
      <c r="A3" s="5" t="s">
        <v>2</v>
      </c>
      <c r="B3" s="5"/>
      <c r="C3" s="5"/>
      <c r="D3" s="5"/>
      <c r="E3" s="2"/>
      <c r="F3" s="3"/>
    </row>
    <row r="4" ht="6" customHeight="1" x14ac:dyDescent="0.25"/>
    <row r="5" ht="14" customHeight="1" spans="1:6" x14ac:dyDescent="0.25">
      <c r="A5" s="6" t="s">
        <v>3</v>
      </c>
      <c r="B5" s="6" t="s">
        <v>4</v>
      </c>
      <c r="C5" s="7" t="s">
        <v>5</v>
      </c>
      <c r="D5" s="6" t="s">
        <v>6</v>
      </c>
      <c r="E5" s="8" t="s">
        <v>7</v>
      </c>
      <c r="F5" s="8"/>
    </row>
    <row r="6" ht="26" customHeight="1" spans="1:6" x14ac:dyDescent="0.25">
      <c r="A6" s="9">
        <f>COUNTA(Checklist!$C$8:$C$75)</f>
      </c>
      <c r="B6" s="10">
        <f>COUNTIF(Checklist!$D$8:$D$75,"Sí")</f>
      </c>
      <c r="C6" s="11">
        <f>COUNTIF(Checklist!$D$8:$D$75,"Parcial")</f>
      </c>
      <c r="D6" s="12">
        <f>COUNTIF(Checklist!$D$8:$D$75,"No")</f>
      </c>
      <c r="E6" s="13">
        <f>IFERROR((B6+C6/2)/A6,0)</f>
      </c>
      <c r="F6" s="13"/>
    </row>
    <row r="7" ht="8" customHeight="1" x14ac:dyDescent="0.25"/>
    <row r="8" ht="20" customHeight="1" spans="1:6" x14ac:dyDescent="0.25">
      <c r="A8" s="14" t="s">
        <v>8</v>
      </c>
      <c r="B8" s="14"/>
      <c r="C8" s="14"/>
      <c r="D8" s="14"/>
      <c r="E8" s="14"/>
      <c r="F8" s="14"/>
    </row>
    <row r="9" ht="24" customHeight="1" spans="1:6" x14ac:dyDescent="0.25">
      <c r="A9" s="15" t="s">
        <v>9</v>
      </c>
      <c r="B9" s="15" t="s">
        <v>10</v>
      </c>
      <c r="C9" s="15" t="s">
        <v>11</v>
      </c>
      <c r="D9" s="15" t="s">
        <v>12</v>
      </c>
      <c r="E9" s="15" t="s">
        <v>13</v>
      </c>
      <c r="F9" s="15" t="s">
        <v>14</v>
      </c>
    </row>
    <row r="10" ht="20" customHeight="1" spans="1:6" x14ac:dyDescent="0.25">
      <c r="A10" s="16" t="s">
        <v>15</v>
      </c>
      <c r="B10" s="17">
        <f>COUNTIFS(Checklist!$B$8:$B$75,"DOCUMENTACIÓN LEGAL",Checklist!$C$8:$C$75,"&lt;&gt;")</f>
      </c>
      <c r="C10" s="17">
        <f>COUNTIFS(Checklist!$B$8:$B$75,"DOCUMENTACIÓN LEGAL",Checklist!$D$8:$D$75,"Sí")</f>
      </c>
      <c r="D10" s="17">
        <f>COUNTIFS(Checklist!$B$8:$B$75,"DOCUMENTACIÓN LEGAL",Checklist!$D$8:$D$75,"Parcial")</f>
      </c>
      <c r="E10" s="17">
        <f>COUNTIFS(Checklist!$B$8:$B$75,"DOCUMENTACIÓN LEGAL",Checklist!$D$8:$D$75,"No")</f>
      </c>
      <c r="F10" s="18">
        <f>IFERROR((C10+D10/2)/B10,0)</f>
      </c>
    </row>
    <row r="11" ht="20" customHeight="1" spans="1:6" x14ac:dyDescent="0.25">
      <c r="A11" s="19" t="s">
        <v>16</v>
      </c>
      <c r="B11" s="20">
        <f>COUNTIFS(Checklist!$B$8:$B$75,"DOCUMENTACIÓN FISCAL",Checklist!$C$8:$C$75,"&lt;&gt;")</f>
      </c>
      <c r="C11" s="20">
        <f>COUNTIFS(Checklist!$B$8:$B$75,"DOCUMENTACIÓN FISCAL",Checklist!$D$8:$D$75,"Sí")</f>
      </c>
      <c r="D11" s="20">
        <f>COUNTIFS(Checklist!$B$8:$B$75,"DOCUMENTACIÓN FISCAL",Checklist!$D$8:$D$75,"Parcial")</f>
      </c>
      <c r="E11" s="20">
        <f>COUNTIFS(Checklist!$B$8:$B$75,"DOCUMENTACIÓN FISCAL",Checklist!$D$8:$D$75,"No")</f>
      </c>
      <c r="F11" s="21">
        <f>IFERROR((C11+D11/2)/B11,0)</f>
      </c>
    </row>
    <row r="12" ht="20" customHeight="1" spans="1:6" x14ac:dyDescent="0.25">
      <c r="A12" s="16" t="s">
        <v>17</v>
      </c>
      <c r="B12" s="17">
        <f>COUNTIFS(Checklist!$B$8:$B$75,"DOCUMENTACIÓN CONTABLE",Checklist!$C$8:$C$75,"&lt;&gt;")</f>
      </c>
      <c r="C12" s="17">
        <f>COUNTIFS(Checklist!$B$8:$B$75,"DOCUMENTACIÓN CONTABLE",Checklist!$D$8:$D$75,"Sí")</f>
      </c>
      <c r="D12" s="17">
        <f>COUNTIFS(Checklist!$B$8:$B$75,"DOCUMENTACIÓN CONTABLE",Checklist!$D$8:$D$75,"Parcial")</f>
      </c>
      <c r="E12" s="17">
        <f>COUNTIFS(Checklist!$B$8:$B$75,"DOCUMENTACIÓN CONTABLE",Checklist!$D$8:$D$75,"No")</f>
      </c>
      <c r="F12" s="18">
        <f>IFERROR((C12+D12/2)/B12,0)</f>
      </c>
    </row>
    <row r="13" ht="20" customHeight="1" spans="1:6" x14ac:dyDescent="0.25">
      <c r="A13" s="19" t="s">
        <v>18</v>
      </c>
      <c r="B13" s="20">
        <f>COUNTIFS(Checklist!$B$8:$B$75,"DOCUMENTOS DEL COLEGIO",Checklist!$C$8:$C$75,"&lt;&gt;")</f>
      </c>
      <c r="C13" s="20">
        <f>COUNTIFS(Checklist!$B$8:$B$75,"DOCUMENTOS DEL COLEGIO",Checklist!$D$8:$D$75,"Sí")</f>
      </c>
      <c r="D13" s="20">
        <f>COUNTIFS(Checklist!$B$8:$B$75,"DOCUMENTOS DEL COLEGIO",Checklist!$D$8:$D$75,"Parcial")</f>
      </c>
      <c r="E13" s="20">
        <f>COUNTIFS(Checklist!$B$8:$B$75,"DOCUMENTOS DEL COLEGIO",Checklist!$D$8:$D$75,"No")</f>
      </c>
      <c r="F13" s="21">
        <f>IFERROR((C13+D13/2)/B13,0)</f>
      </c>
    </row>
    <row r="14" ht="22" customHeight="1" spans="1:6" x14ac:dyDescent="0.25">
      <c r="A14" s="22" t="s">
        <v>19</v>
      </c>
      <c r="B14" s="23">
        <f>SUM(B10:B13)</f>
      </c>
      <c r="C14" s="23">
        <f>SUM(C10:C13)</f>
      </c>
      <c r="D14" s="23">
        <f>SUM(D10:D13)</f>
      </c>
      <c r="E14" s="23">
        <f>SUM(E10:E13)</f>
      </c>
      <c r="F14" s="24">
        <f>IFERROR((C14+D14/2)/B14,0)</f>
      </c>
    </row>
    <row r="16" ht="20" customHeight="1" spans="1:6" x14ac:dyDescent="0.25">
      <c r="A16" s="14" t="s">
        <v>20</v>
      </c>
      <c r="B16" s="14"/>
      <c r="C16" s="14"/>
      <c r="D16" s="14"/>
      <c r="E16" s="14"/>
      <c r="F16" s="14"/>
    </row>
    <row r="17" ht="30" customHeight="1" spans="1:6" x14ac:dyDescent="0.25">
      <c r="A17" s="25" t="s">
        <v>21</v>
      </c>
      <c r="B17" s="26" t="s">
        <v>22</v>
      </c>
      <c r="C17" s="26"/>
      <c r="D17" s="26"/>
      <c r="E17" s="26"/>
      <c r="F17" s="26"/>
    </row>
    <row r="18" ht="30" customHeight="1" spans="1:6" x14ac:dyDescent="0.25">
      <c r="A18" s="27" t="s">
        <v>12</v>
      </c>
      <c r="B18" s="26" t="s">
        <v>23</v>
      </c>
      <c r="C18" s="26"/>
      <c r="D18" s="26"/>
      <c r="E18" s="26"/>
      <c r="F18" s="26"/>
    </row>
    <row r="19" ht="30" customHeight="1" spans="1:6" x14ac:dyDescent="0.25">
      <c r="A19" s="28" t="s">
        <v>24</v>
      </c>
      <c r="B19" s="26" t="s">
        <v>25</v>
      </c>
      <c r="C19" s="26"/>
      <c r="D19" s="26"/>
      <c r="E19" s="26"/>
      <c r="F19" s="26"/>
    </row>
    <row r="21" ht="30" customHeight="1" spans="1:6" x14ac:dyDescent="0.25">
      <c r="A21" s="29" t="s">
        <v>26</v>
      </c>
      <c r="B21" s="29"/>
      <c r="C21" s="29"/>
      <c r="D21" s="29"/>
      <c r="E21" s="29"/>
      <c r="F21" s="29"/>
    </row>
    <row r="23" ht="20" customHeight="1" spans="1:6" x14ac:dyDescent="0.25">
      <c r="A23" s="30" t="s">
        <v>27</v>
      </c>
      <c r="B23" s="30"/>
      <c r="C23" s="30"/>
      <c r="D23" s="31" t="s">
        <v>28</v>
      </c>
      <c r="E23" s="31"/>
      <c r="F23" s="31"/>
    </row>
  </sheetData>
  <mergeCells count="13">
    <mergeCell ref="A1:D1"/>
    <mergeCell ref="A2:D2"/>
    <mergeCell ref="A3:D3"/>
    <mergeCell ref="E5:F5"/>
    <mergeCell ref="E6:F6"/>
    <mergeCell ref="A8:F8"/>
    <mergeCell ref="A16:F16"/>
    <mergeCell ref="B17:F17"/>
    <mergeCell ref="B18:F18"/>
    <mergeCell ref="B19:F19"/>
    <mergeCell ref="A21:F21"/>
    <mergeCell ref="A23:C23"/>
    <mergeCell ref="D23:F23"/>
  </mergeCells>
  <conditionalFormatting sqref="F10:F14">
    <cfRule type="cellIs" dxfId="0" priority="1" operator="greaterThanOrEqual">
      <formula>0.85</formula>
    </cfRule>
    <cfRule type="cellIs" dxfId="1" priority="2" operator="lessThan">
      <formula>0.5</formula>
    </cfRule>
  </conditionalFormatting>
  <printOptions horizontalCentered="1"/>
  <pageMargins left="0.35" right="0.35" top="0.4" bottom="0.5" header="0.2" footer="0.25"/>
  <pageSetup paperSize="1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7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46" customWidth="1"/>
    <col min="4" max="4" width="12" customWidth="1"/>
    <col min="5" max="5" width="40" customWidth="1"/>
    <col min="6" max="6" width="18" customWidth="1"/>
    <col min="7" max="7" width="12" customWidth="1"/>
    <col min="8" max="8" width="24" customWidth="1"/>
    <col min="9" max="9" width="36" customWidth="1"/>
  </cols>
  <sheetData>
    <row r="1" ht="17" customHeight="1" spans="1:9" x14ac:dyDescent="0.25">
      <c r="A1" s="1" t="s">
        <v>0</v>
      </c>
      <c r="B1" s="1"/>
      <c r="C1" s="1"/>
      <c r="D1" s="1"/>
      <c r="E1" s="1"/>
      <c r="F1" s="1"/>
      <c r="G1" s="1"/>
      <c r="H1" s="2"/>
      <c r="I1" s="3"/>
    </row>
    <row r="2" ht="30" customHeight="1" spans="1:9" x14ac:dyDescent="0.25">
      <c r="A2" s="4" t="s">
        <v>29</v>
      </c>
      <c r="B2" s="4"/>
      <c r="C2" s="4"/>
      <c r="D2" s="4"/>
      <c r="E2" s="4"/>
      <c r="F2" s="4"/>
      <c r="G2" s="4"/>
      <c r="H2" s="2"/>
      <c r="I2" s="3"/>
    </row>
    <row r="3" ht="17" customHeight="1" spans="1:9" x14ac:dyDescent="0.25">
      <c r="A3" s="5" t="s">
        <v>30</v>
      </c>
      <c r="B3" s="5"/>
      <c r="C3" s="5"/>
      <c r="D3" s="5"/>
      <c r="E3" s="5"/>
      <c r="F3" s="5"/>
      <c r="G3" s="5"/>
      <c r="H3" s="2"/>
      <c r="I3" s="3"/>
    </row>
    <row r="4" ht="6" customHeight="1" x14ac:dyDescent="0.25"/>
    <row r="5" ht="6" customHeight="1" x14ac:dyDescent="0.25"/>
    <row r="6" ht="18" customHeight="1" spans="1:9" x14ac:dyDescent="0.25">
      <c r="A6" s="32" t="s">
        <v>31</v>
      </c>
      <c r="B6" s="32"/>
      <c r="C6" s="32"/>
      <c r="D6" s="32"/>
      <c r="E6" s="32"/>
      <c r="F6" s="32"/>
      <c r="G6" s="32"/>
      <c r="H6" s="32"/>
      <c r="I6" s="32"/>
    </row>
    <row r="7" ht="30" customHeight="1" spans="1:9" x14ac:dyDescent="0.25">
      <c r="A7" s="15" t="s">
        <v>32</v>
      </c>
      <c r="B7" s="15" t="s">
        <v>9</v>
      </c>
      <c r="C7" s="15" t="s">
        <v>33</v>
      </c>
      <c r="D7" s="15" t="s">
        <v>34</v>
      </c>
      <c r="E7" s="15" t="s">
        <v>35</v>
      </c>
      <c r="F7" s="15" t="s">
        <v>36</v>
      </c>
      <c r="G7" s="15" t="s">
        <v>37</v>
      </c>
      <c r="H7" s="15" t="s">
        <v>38</v>
      </c>
      <c r="I7" s="15" t="s">
        <v>39</v>
      </c>
    </row>
    <row r="8" ht="19" customHeight="1" spans="1:9" x14ac:dyDescent="0.25">
      <c r="A8" s="33" t="s">
        <v>40</v>
      </c>
      <c r="B8" s="33"/>
      <c r="C8" s="33"/>
      <c r="D8" s="33"/>
      <c r="E8" s="33"/>
      <c r="F8" s="33"/>
      <c r="G8" s="33"/>
      <c r="H8" s="33"/>
      <c r="I8" s="33"/>
    </row>
    <row r="9" ht="28" customHeight="1" spans="1:9" x14ac:dyDescent="0.25">
      <c r="A9" s="34">
        <v>1</v>
      </c>
      <c r="B9" s="35" t="s">
        <v>40</v>
      </c>
      <c r="C9" s="36" t="s">
        <v>41</v>
      </c>
      <c r="D9" s="37" t="s">
        <v>21</v>
      </c>
      <c r="E9" s="36" t="s">
        <v>42</v>
      </c>
      <c r="F9" s="36" t="s">
        <v>43</v>
      </c>
      <c r="G9" s="38" t="s">
        <v>44</v>
      </c>
      <c r="H9" s="39" t="s">
        <v>45</v>
      </c>
      <c r="I9" s="40" t="s">
        <v>46</v>
      </c>
    </row>
    <row r="10" ht="28" customHeight="1" spans="1:9" x14ac:dyDescent="0.25">
      <c r="A10" s="34">
        <v>2</v>
      </c>
      <c r="B10" s="35" t="s">
        <v>40</v>
      </c>
      <c r="C10" s="36" t="s">
        <v>47</v>
      </c>
      <c r="D10" s="37" t="s">
        <v>12</v>
      </c>
      <c r="E10" s="36" t="s">
        <v>42</v>
      </c>
      <c r="F10" s="36" t="s">
        <v>43</v>
      </c>
      <c r="G10" s="38" t="s">
        <v>44</v>
      </c>
      <c r="H10" s="39" t="s">
        <v>48</v>
      </c>
      <c r="I10" s="40" t="s">
        <v>49</v>
      </c>
    </row>
    <row r="11" ht="22" customHeight="1" spans="1:9" x14ac:dyDescent="0.25">
      <c r="A11" s="34">
        <v>3</v>
      </c>
      <c r="B11" s="35" t="s">
        <v>40</v>
      </c>
      <c r="C11" s="36" t="s">
        <v>50</v>
      </c>
      <c r="D11" s="37" t="s">
        <v>21</v>
      </c>
      <c r="E11" s="36" t="s">
        <v>51</v>
      </c>
      <c r="F11" s="36" t="s">
        <v>43</v>
      </c>
      <c r="G11" s="38" t="s">
        <v>44</v>
      </c>
      <c r="H11" s="39" t="s">
        <v>45</v>
      </c>
      <c r="I11" s="40" t="s">
        <v>46</v>
      </c>
    </row>
    <row r="12" ht="28" customHeight="1" spans="1:9" x14ac:dyDescent="0.25">
      <c r="A12" s="34">
        <v>4</v>
      </c>
      <c r="B12" s="35" t="s">
        <v>40</v>
      </c>
      <c r="C12" s="36" t="s">
        <v>52</v>
      </c>
      <c r="D12" s="37" t="s">
        <v>21</v>
      </c>
      <c r="E12" s="36" t="s">
        <v>53</v>
      </c>
      <c r="F12" s="36" t="s">
        <v>43</v>
      </c>
      <c r="G12" s="38" t="s">
        <v>44</v>
      </c>
      <c r="H12" s="39" t="s">
        <v>45</v>
      </c>
      <c r="I12" s="40" t="s">
        <v>46</v>
      </c>
    </row>
    <row r="13" ht="28" customHeight="1" spans="1:9" x14ac:dyDescent="0.25">
      <c r="A13" s="34">
        <v>5</v>
      </c>
      <c r="B13" s="35" t="s">
        <v>40</v>
      </c>
      <c r="C13" s="36" t="s">
        <v>54</v>
      </c>
      <c r="D13" s="37" t="s">
        <v>21</v>
      </c>
      <c r="E13" s="36" t="s">
        <v>55</v>
      </c>
      <c r="F13" s="36" t="s">
        <v>56</v>
      </c>
      <c r="G13" s="38" t="s">
        <v>57</v>
      </c>
      <c r="H13" s="39" t="s">
        <v>45</v>
      </c>
      <c r="I13" s="40" t="s">
        <v>46</v>
      </c>
    </row>
    <row r="14" ht="22" customHeight="1" spans="1:9" x14ac:dyDescent="0.25">
      <c r="A14" s="34">
        <v>6</v>
      </c>
      <c r="B14" s="35" t="s">
        <v>40</v>
      </c>
      <c r="C14" s="36" t="s">
        <v>58</v>
      </c>
      <c r="D14" s="37" t="s">
        <v>24</v>
      </c>
      <c r="E14" s="36" t="s">
        <v>59</v>
      </c>
      <c r="F14" s="36" t="s">
        <v>46</v>
      </c>
      <c r="G14" s="38" t="s">
        <v>44</v>
      </c>
      <c r="H14" s="39" t="s">
        <v>48</v>
      </c>
      <c r="I14" s="40" t="s">
        <v>46</v>
      </c>
    </row>
    <row r="15" ht="22" customHeight="1" spans="1:9" x14ac:dyDescent="0.25">
      <c r="A15" s="34">
        <v>7</v>
      </c>
      <c r="B15" s="35" t="s">
        <v>40</v>
      </c>
      <c r="C15" s="36" t="s">
        <v>60</v>
      </c>
      <c r="D15" s="37" t="s">
        <v>24</v>
      </c>
      <c r="E15" s="36" t="s">
        <v>59</v>
      </c>
      <c r="F15" s="36" t="s">
        <v>46</v>
      </c>
      <c r="G15" s="38" t="s">
        <v>44</v>
      </c>
      <c r="H15" s="39" t="s">
        <v>48</v>
      </c>
      <c r="I15" s="40" t="s">
        <v>61</v>
      </c>
    </row>
    <row r="16" ht="22" customHeight="1" spans="1:9" x14ac:dyDescent="0.25">
      <c r="A16" s="34">
        <v>8</v>
      </c>
      <c r="B16" s="35" t="s">
        <v>40</v>
      </c>
      <c r="C16" s="36" t="s">
        <v>62</v>
      </c>
      <c r="D16" s="37" t="s">
        <v>24</v>
      </c>
      <c r="E16" s="36" t="s">
        <v>59</v>
      </c>
      <c r="F16" s="36" t="s">
        <v>46</v>
      </c>
      <c r="G16" s="38" t="s">
        <v>44</v>
      </c>
      <c r="H16" s="39" t="s">
        <v>48</v>
      </c>
      <c r="I16" s="40" t="s">
        <v>61</v>
      </c>
    </row>
    <row r="17" ht="28" customHeight="1" spans="1:9" x14ac:dyDescent="0.25">
      <c r="A17" s="34">
        <v>9</v>
      </c>
      <c r="B17" s="35" t="s">
        <v>40</v>
      </c>
      <c r="C17" s="36" t="s">
        <v>63</v>
      </c>
      <c r="D17" s="37" t="s">
        <v>12</v>
      </c>
      <c r="E17" s="36" t="s">
        <v>42</v>
      </c>
      <c r="F17" s="36" t="s">
        <v>43</v>
      </c>
      <c r="G17" s="38" t="s">
        <v>44</v>
      </c>
      <c r="H17" s="39" t="s">
        <v>45</v>
      </c>
      <c r="I17" s="40" t="s">
        <v>64</v>
      </c>
    </row>
    <row r="18" ht="28" customHeight="1" spans="1:9" x14ac:dyDescent="0.25">
      <c r="A18" s="34">
        <v>10</v>
      </c>
      <c r="B18" s="35" t="s">
        <v>40</v>
      </c>
      <c r="C18" s="36" t="s">
        <v>65</v>
      </c>
      <c r="D18" s="37" t="s">
        <v>21</v>
      </c>
      <c r="E18" s="36" t="s">
        <v>66</v>
      </c>
      <c r="F18" s="36" t="s">
        <v>67</v>
      </c>
      <c r="G18" s="38" t="s">
        <v>44</v>
      </c>
      <c r="H18" s="39" t="s">
        <v>45</v>
      </c>
      <c r="I18" s="40" t="s">
        <v>46</v>
      </c>
    </row>
    <row r="19" ht="19" customHeight="1" spans="1:9" x14ac:dyDescent="0.25">
      <c r="A19" s="33" t="s">
        <v>68</v>
      </c>
      <c r="B19" s="33"/>
      <c r="C19" s="33"/>
      <c r="D19" s="33"/>
      <c r="E19" s="33"/>
      <c r="F19" s="33"/>
      <c r="G19" s="33"/>
      <c r="H19" s="33"/>
      <c r="I19" s="33"/>
    </row>
    <row r="20" ht="22" customHeight="1" spans="1:9" x14ac:dyDescent="0.25">
      <c r="A20" s="34">
        <v>1</v>
      </c>
      <c r="B20" s="35" t="s">
        <v>68</v>
      </c>
      <c r="C20" s="36" t="s">
        <v>69</v>
      </c>
      <c r="D20" s="37" t="s">
        <v>12</v>
      </c>
      <c r="E20" s="36" t="s">
        <v>70</v>
      </c>
      <c r="F20" s="36" t="s">
        <v>71</v>
      </c>
      <c r="G20" s="38" t="s">
        <v>44</v>
      </c>
      <c r="H20" s="39" t="s">
        <v>45</v>
      </c>
      <c r="I20" s="40" t="s">
        <v>72</v>
      </c>
    </row>
    <row r="21" ht="22" customHeight="1" spans="1:9" x14ac:dyDescent="0.25">
      <c r="A21" s="34">
        <v>2</v>
      </c>
      <c r="B21" s="35" t="s">
        <v>68</v>
      </c>
      <c r="C21" s="36" t="s">
        <v>73</v>
      </c>
      <c r="D21" s="37" t="s">
        <v>21</v>
      </c>
      <c r="E21" s="36" t="s">
        <v>70</v>
      </c>
      <c r="F21" s="36" t="s">
        <v>71</v>
      </c>
      <c r="G21" s="38" t="s">
        <v>44</v>
      </c>
      <c r="H21" s="39" t="s">
        <v>45</v>
      </c>
      <c r="I21" s="40" t="s">
        <v>46</v>
      </c>
    </row>
    <row r="22" ht="22" customHeight="1" spans="1:9" x14ac:dyDescent="0.25">
      <c r="A22" s="34">
        <v>3</v>
      </c>
      <c r="B22" s="35" t="s">
        <v>68</v>
      </c>
      <c r="C22" s="36" t="s">
        <v>74</v>
      </c>
      <c r="D22" s="37" t="s">
        <v>21</v>
      </c>
      <c r="E22" s="36" t="s">
        <v>70</v>
      </c>
      <c r="F22" s="36" t="s">
        <v>71</v>
      </c>
      <c r="G22" s="38" t="s">
        <v>75</v>
      </c>
      <c r="H22" s="39" t="s">
        <v>45</v>
      </c>
      <c r="I22" s="40" t="s">
        <v>46</v>
      </c>
    </row>
    <row r="23" ht="28" customHeight="1" spans="1:9" x14ac:dyDescent="0.25">
      <c r="A23" s="34">
        <v>4</v>
      </c>
      <c r="B23" s="35" t="s">
        <v>68</v>
      </c>
      <c r="C23" s="36" t="s">
        <v>76</v>
      </c>
      <c r="D23" s="37" t="s">
        <v>21</v>
      </c>
      <c r="E23" s="36" t="s">
        <v>77</v>
      </c>
      <c r="F23" s="36" t="s">
        <v>71</v>
      </c>
      <c r="G23" s="38" t="s">
        <v>75</v>
      </c>
      <c r="H23" s="39" t="s">
        <v>45</v>
      </c>
      <c r="I23" s="40" t="s">
        <v>46</v>
      </c>
    </row>
    <row r="24" ht="22" customHeight="1" spans="1:9" x14ac:dyDescent="0.25">
      <c r="A24" s="34">
        <v>5</v>
      </c>
      <c r="B24" s="35" t="s">
        <v>68</v>
      </c>
      <c r="C24" s="36" t="s">
        <v>78</v>
      </c>
      <c r="D24" s="37" t="s">
        <v>24</v>
      </c>
      <c r="E24" s="36" t="s">
        <v>59</v>
      </c>
      <c r="F24" s="36" t="s">
        <v>46</v>
      </c>
      <c r="G24" s="38" t="s">
        <v>57</v>
      </c>
      <c r="H24" s="39" t="s">
        <v>48</v>
      </c>
      <c r="I24" s="40" t="s">
        <v>79</v>
      </c>
    </row>
    <row r="25" ht="28" customHeight="1" spans="1:9" x14ac:dyDescent="0.25">
      <c r="A25" s="34">
        <v>6</v>
      </c>
      <c r="B25" s="35" t="s">
        <v>68</v>
      </c>
      <c r="C25" s="36" t="s">
        <v>80</v>
      </c>
      <c r="D25" s="37" t="s">
        <v>24</v>
      </c>
      <c r="E25" s="36" t="s">
        <v>59</v>
      </c>
      <c r="F25" s="36" t="s">
        <v>46</v>
      </c>
      <c r="G25" s="38" t="s">
        <v>44</v>
      </c>
      <c r="H25" s="39" t="s">
        <v>48</v>
      </c>
      <c r="I25" s="40" t="s">
        <v>79</v>
      </c>
    </row>
    <row r="26" ht="22" customHeight="1" spans="1:9" x14ac:dyDescent="0.25">
      <c r="A26" s="34">
        <v>7</v>
      </c>
      <c r="B26" s="35" t="s">
        <v>68</v>
      </c>
      <c r="C26" s="36" t="s">
        <v>81</v>
      </c>
      <c r="D26" s="37" t="s">
        <v>24</v>
      </c>
      <c r="E26" s="36" t="s">
        <v>59</v>
      </c>
      <c r="F26" s="36" t="s">
        <v>46</v>
      </c>
      <c r="G26" s="38" t="s">
        <v>44</v>
      </c>
      <c r="H26" s="39" t="s">
        <v>48</v>
      </c>
      <c r="I26" s="40" t="s">
        <v>79</v>
      </c>
    </row>
    <row r="27" ht="22" customHeight="1" spans="1:9" x14ac:dyDescent="0.25">
      <c r="A27" s="34">
        <v>8</v>
      </c>
      <c r="B27" s="35" t="s">
        <v>68</v>
      </c>
      <c r="C27" s="36" t="s">
        <v>82</v>
      </c>
      <c r="D27" s="37" t="s">
        <v>24</v>
      </c>
      <c r="E27" s="36" t="s">
        <v>59</v>
      </c>
      <c r="F27" s="36" t="s">
        <v>46</v>
      </c>
      <c r="G27" s="38" t="s">
        <v>44</v>
      </c>
      <c r="H27" s="39" t="s">
        <v>48</v>
      </c>
      <c r="I27" s="40" t="s">
        <v>79</v>
      </c>
    </row>
    <row r="28" ht="28" customHeight="1" spans="1:9" x14ac:dyDescent="0.25">
      <c r="A28" s="34">
        <v>9</v>
      </c>
      <c r="B28" s="35" t="s">
        <v>68</v>
      </c>
      <c r="C28" s="36" t="s">
        <v>83</v>
      </c>
      <c r="D28" s="37" t="s">
        <v>12</v>
      </c>
      <c r="E28" s="36" t="s">
        <v>84</v>
      </c>
      <c r="F28" s="36" t="s">
        <v>85</v>
      </c>
      <c r="G28" s="38" t="s">
        <v>57</v>
      </c>
      <c r="H28" s="39" t="s">
        <v>48</v>
      </c>
      <c r="I28" s="40" t="s">
        <v>86</v>
      </c>
    </row>
    <row r="29" ht="22" customHeight="1" spans="1:9" x14ac:dyDescent="0.25">
      <c r="A29" s="34">
        <v>10</v>
      </c>
      <c r="B29" s="35" t="s">
        <v>68</v>
      </c>
      <c r="C29" s="36" t="s">
        <v>87</v>
      </c>
      <c r="D29" s="37" t="s">
        <v>24</v>
      </c>
      <c r="E29" s="36" t="s">
        <v>59</v>
      </c>
      <c r="F29" s="36" t="s">
        <v>46</v>
      </c>
      <c r="G29" s="38" t="s">
        <v>44</v>
      </c>
      <c r="H29" s="39" t="s">
        <v>48</v>
      </c>
      <c r="I29" s="40" t="s">
        <v>79</v>
      </c>
    </row>
    <row r="30" ht="28" customHeight="1" spans="1:9" x14ac:dyDescent="0.25">
      <c r="A30" s="34">
        <v>11</v>
      </c>
      <c r="B30" s="35" t="s">
        <v>68</v>
      </c>
      <c r="C30" s="36" t="s">
        <v>88</v>
      </c>
      <c r="D30" s="37" t="s">
        <v>24</v>
      </c>
      <c r="E30" s="36" t="s">
        <v>59</v>
      </c>
      <c r="F30" s="36" t="s">
        <v>46</v>
      </c>
      <c r="G30" s="38" t="s">
        <v>44</v>
      </c>
      <c r="H30" s="39" t="s">
        <v>48</v>
      </c>
      <c r="I30" s="40" t="s">
        <v>79</v>
      </c>
    </row>
    <row r="31" ht="19" customHeight="1" spans="1:9" x14ac:dyDescent="0.25">
      <c r="A31" s="33" t="s">
        <v>89</v>
      </c>
      <c r="B31" s="33"/>
      <c r="C31" s="33"/>
      <c r="D31" s="33"/>
      <c r="E31" s="33"/>
      <c r="F31" s="33"/>
      <c r="G31" s="33"/>
      <c r="H31" s="33"/>
      <c r="I31" s="33"/>
    </row>
    <row r="32" ht="22" customHeight="1" spans="1:9" x14ac:dyDescent="0.25">
      <c r="A32" s="34">
        <v>1</v>
      </c>
      <c r="B32" s="35" t="s">
        <v>89</v>
      </c>
      <c r="C32" s="36" t="s">
        <v>90</v>
      </c>
      <c r="D32" s="37" t="s">
        <v>24</v>
      </c>
      <c r="E32" s="36" t="s">
        <v>59</v>
      </c>
      <c r="F32" s="36" t="s">
        <v>46</v>
      </c>
      <c r="G32" s="38" t="s">
        <v>75</v>
      </c>
      <c r="H32" s="39" t="s">
        <v>91</v>
      </c>
      <c r="I32" s="40" t="s">
        <v>46</v>
      </c>
    </row>
    <row r="33" ht="22" customHeight="1" spans="1:9" x14ac:dyDescent="0.25">
      <c r="A33" s="34">
        <v>2</v>
      </c>
      <c r="B33" s="35" t="s">
        <v>89</v>
      </c>
      <c r="C33" s="36" t="s">
        <v>92</v>
      </c>
      <c r="D33" s="37" t="s">
        <v>24</v>
      </c>
      <c r="E33" s="36" t="s">
        <v>59</v>
      </c>
      <c r="F33" s="36" t="s">
        <v>46</v>
      </c>
      <c r="G33" s="38" t="s">
        <v>57</v>
      </c>
      <c r="H33" s="39" t="s">
        <v>91</v>
      </c>
      <c r="I33" s="40" t="s">
        <v>46</v>
      </c>
    </row>
    <row r="34" ht="22" customHeight="1" spans="1:9" x14ac:dyDescent="0.25">
      <c r="A34" s="34">
        <v>3</v>
      </c>
      <c r="B34" s="35" t="s">
        <v>89</v>
      </c>
      <c r="C34" s="36" t="s">
        <v>93</v>
      </c>
      <c r="D34" s="37" t="s">
        <v>24</v>
      </c>
      <c r="E34" s="36" t="s">
        <v>59</v>
      </c>
      <c r="F34" s="36" t="s">
        <v>46</v>
      </c>
      <c r="G34" s="38" t="s">
        <v>57</v>
      </c>
      <c r="H34" s="39" t="s">
        <v>91</v>
      </c>
      <c r="I34" s="40" t="s">
        <v>94</v>
      </c>
    </row>
    <row r="35" ht="22" customHeight="1" spans="1:9" x14ac:dyDescent="0.25">
      <c r="A35" s="34">
        <v>4</v>
      </c>
      <c r="B35" s="35" t="s">
        <v>89</v>
      </c>
      <c r="C35" s="36" t="s">
        <v>95</v>
      </c>
      <c r="D35" s="37" t="s">
        <v>24</v>
      </c>
      <c r="E35" s="36" t="s">
        <v>59</v>
      </c>
      <c r="F35" s="36" t="s">
        <v>46</v>
      </c>
      <c r="G35" s="38" t="s">
        <v>57</v>
      </c>
      <c r="H35" s="39" t="s">
        <v>91</v>
      </c>
      <c r="I35" s="40" t="s">
        <v>46</v>
      </c>
    </row>
    <row r="36" ht="22" customHeight="1" spans="1:9" x14ac:dyDescent="0.25">
      <c r="A36" s="34">
        <v>5</v>
      </c>
      <c r="B36" s="35" t="s">
        <v>89</v>
      </c>
      <c r="C36" s="36" t="s">
        <v>96</v>
      </c>
      <c r="D36" s="37" t="s">
        <v>24</v>
      </c>
      <c r="E36" s="36" t="s">
        <v>59</v>
      </c>
      <c r="F36" s="36" t="s">
        <v>46</v>
      </c>
      <c r="G36" s="38" t="s">
        <v>57</v>
      </c>
      <c r="H36" s="39" t="s">
        <v>91</v>
      </c>
      <c r="I36" s="40" t="s">
        <v>46</v>
      </c>
    </row>
    <row r="37" ht="22" customHeight="1" spans="1:9" x14ac:dyDescent="0.25">
      <c r="A37" s="34">
        <v>6</v>
      </c>
      <c r="B37" s="35" t="s">
        <v>89</v>
      </c>
      <c r="C37" s="36" t="s">
        <v>97</v>
      </c>
      <c r="D37" s="37" t="s">
        <v>24</v>
      </c>
      <c r="E37" s="36" t="s">
        <v>59</v>
      </c>
      <c r="F37" s="36" t="s">
        <v>46</v>
      </c>
      <c r="G37" s="38" t="s">
        <v>57</v>
      </c>
      <c r="H37" s="39" t="s">
        <v>91</v>
      </c>
      <c r="I37" s="40" t="s">
        <v>46</v>
      </c>
    </row>
    <row r="38" ht="28" customHeight="1" spans="1:9" x14ac:dyDescent="0.25">
      <c r="A38" s="34">
        <v>7</v>
      </c>
      <c r="B38" s="35" t="s">
        <v>89</v>
      </c>
      <c r="C38" s="36" t="s">
        <v>98</v>
      </c>
      <c r="D38" s="37" t="s">
        <v>24</v>
      </c>
      <c r="E38" s="36" t="s">
        <v>59</v>
      </c>
      <c r="F38" s="36" t="s">
        <v>46</v>
      </c>
      <c r="G38" s="38" t="s">
        <v>57</v>
      </c>
      <c r="H38" s="39" t="s">
        <v>91</v>
      </c>
      <c r="I38" s="40" t="s">
        <v>46</v>
      </c>
    </row>
    <row r="39" ht="28" customHeight="1" spans="1:9" x14ac:dyDescent="0.25">
      <c r="A39" s="34">
        <v>8</v>
      </c>
      <c r="B39" s="35" t="s">
        <v>89</v>
      </c>
      <c r="C39" s="36" t="s">
        <v>99</v>
      </c>
      <c r="D39" s="37" t="s">
        <v>24</v>
      </c>
      <c r="E39" s="36" t="s">
        <v>59</v>
      </c>
      <c r="F39" s="36" t="s">
        <v>46</v>
      </c>
      <c r="G39" s="38" t="s">
        <v>57</v>
      </c>
      <c r="H39" s="39" t="s">
        <v>91</v>
      </c>
      <c r="I39" s="40" t="s">
        <v>100</v>
      </c>
    </row>
    <row r="40" ht="28" customHeight="1" spans="1:9" x14ac:dyDescent="0.25">
      <c r="A40" s="34">
        <v>9</v>
      </c>
      <c r="B40" s="35" t="s">
        <v>89</v>
      </c>
      <c r="C40" s="36" t="s">
        <v>101</v>
      </c>
      <c r="D40" s="37" t="s">
        <v>24</v>
      </c>
      <c r="E40" s="36" t="s">
        <v>59</v>
      </c>
      <c r="F40" s="36" t="s">
        <v>46</v>
      </c>
      <c r="G40" s="38" t="s">
        <v>57</v>
      </c>
      <c r="H40" s="39" t="s">
        <v>91</v>
      </c>
      <c r="I40" s="40" t="s">
        <v>100</v>
      </c>
    </row>
    <row r="41" ht="19" customHeight="1" spans="1:9" x14ac:dyDescent="0.25">
      <c r="A41" s="33" t="s">
        <v>102</v>
      </c>
      <c r="B41" s="33"/>
      <c r="C41" s="33"/>
      <c r="D41" s="33"/>
      <c r="E41" s="33"/>
      <c r="F41" s="33"/>
      <c r="G41" s="33"/>
      <c r="H41" s="33"/>
      <c r="I41" s="33"/>
    </row>
    <row r="42" ht="22" customHeight="1" spans="1:9" x14ac:dyDescent="0.25">
      <c r="A42" s="34">
        <v>1</v>
      </c>
      <c r="B42" s="35" t="s">
        <v>102</v>
      </c>
      <c r="C42" s="36" t="s">
        <v>103</v>
      </c>
      <c r="D42" s="37" t="s">
        <v>21</v>
      </c>
      <c r="E42" s="36" t="s">
        <v>104</v>
      </c>
      <c r="F42" s="36" t="s">
        <v>105</v>
      </c>
      <c r="G42" s="38" t="s">
        <v>57</v>
      </c>
      <c r="H42" s="39" t="s">
        <v>45</v>
      </c>
      <c r="I42" s="40" t="s">
        <v>46</v>
      </c>
    </row>
    <row r="43" ht="28" customHeight="1" spans="1:9" x14ac:dyDescent="0.25">
      <c r="A43" s="34">
        <v>2</v>
      </c>
      <c r="B43" s="35" t="s">
        <v>102</v>
      </c>
      <c r="C43" s="36" t="s">
        <v>106</v>
      </c>
      <c r="D43" s="37" t="s">
        <v>24</v>
      </c>
      <c r="E43" s="36" t="s">
        <v>59</v>
      </c>
      <c r="F43" s="36" t="s">
        <v>46</v>
      </c>
      <c r="G43" s="38" t="s">
        <v>57</v>
      </c>
      <c r="H43" s="39" t="s">
        <v>107</v>
      </c>
      <c r="I43" s="40" t="s">
        <v>46</v>
      </c>
    </row>
    <row r="44" ht="28" customHeight="1" spans="1:9" x14ac:dyDescent="0.25">
      <c r="A44" s="34">
        <v>3</v>
      </c>
      <c r="B44" s="35" t="s">
        <v>102</v>
      </c>
      <c r="C44" s="36" t="s">
        <v>108</v>
      </c>
      <c r="D44" s="37" t="s">
        <v>24</v>
      </c>
      <c r="E44" s="36" t="s">
        <v>59</v>
      </c>
      <c r="F44" s="36" t="s">
        <v>46</v>
      </c>
      <c r="G44" s="38" t="s">
        <v>44</v>
      </c>
      <c r="H44" s="39" t="s">
        <v>109</v>
      </c>
      <c r="I44" s="40" t="s">
        <v>46</v>
      </c>
    </row>
    <row r="45" ht="22" customHeight="1" spans="1:9" x14ac:dyDescent="0.25">
      <c r="A45" s="34">
        <v>4</v>
      </c>
      <c r="B45" s="35" t="s">
        <v>102</v>
      </c>
      <c r="C45" s="36" t="s">
        <v>110</v>
      </c>
      <c r="D45" s="37" t="s">
        <v>12</v>
      </c>
      <c r="E45" s="36" t="s">
        <v>111</v>
      </c>
      <c r="F45" s="36" t="s">
        <v>112</v>
      </c>
      <c r="G45" s="38" t="s">
        <v>44</v>
      </c>
      <c r="H45" s="39" t="s">
        <v>107</v>
      </c>
      <c r="I45" s="40" t="s">
        <v>113</v>
      </c>
    </row>
    <row r="46" ht="22" customHeight="1" spans="1:9" x14ac:dyDescent="0.25">
      <c r="A46" s="34">
        <v>5</v>
      </c>
      <c r="B46" s="35" t="s">
        <v>102</v>
      </c>
      <c r="C46" s="36" t="s">
        <v>114</v>
      </c>
      <c r="D46" s="37" t="s">
        <v>24</v>
      </c>
      <c r="E46" s="36" t="s">
        <v>59</v>
      </c>
      <c r="F46" s="36" t="s">
        <v>46</v>
      </c>
      <c r="G46" s="38" t="s">
        <v>44</v>
      </c>
      <c r="H46" s="39" t="s">
        <v>107</v>
      </c>
      <c r="I46" s="40" t="s">
        <v>46</v>
      </c>
    </row>
    <row r="47" ht="22" customHeight="1" spans="1:9" x14ac:dyDescent="0.25">
      <c r="A47" s="34">
        <v>6</v>
      </c>
      <c r="B47" s="35" t="s">
        <v>102</v>
      </c>
      <c r="C47" s="36" t="s">
        <v>115</v>
      </c>
      <c r="D47" s="37" t="s">
        <v>24</v>
      </c>
      <c r="E47" s="36" t="s">
        <v>59</v>
      </c>
      <c r="F47" s="36" t="s">
        <v>46</v>
      </c>
      <c r="G47" s="38" t="s">
        <v>57</v>
      </c>
      <c r="H47" s="39" t="s">
        <v>109</v>
      </c>
      <c r="I47" s="40" t="s">
        <v>46</v>
      </c>
    </row>
    <row r="48" ht="28" customHeight="1" spans="1:9" x14ac:dyDescent="0.25">
      <c r="A48" s="34">
        <v>7</v>
      </c>
      <c r="B48" s="35" t="s">
        <v>102</v>
      </c>
      <c r="C48" s="36" t="s">
        <v>116</v>
      </c>
      <c r="D48" s="37" t="s">
        <v>24</v>
      </c>
      <c r="E48" s="36" t="s">
        <v>59</v>
      </c>
      <c r="F48" s="36" t="s">
        <v>46</v>
      </c>
      <c r="G48" s="38" t="s">
        <v>44</v>
      </c>
      <c r="H48" s="39" t="s">
        <v>109</v>
      </c>
      <c r="I48" s="40" t="s">
        <v>46</v>
      </c>
    </row>
    <row r="49" ht="22" customHeight="1" spans="1:9" x14ac:dyDescent="0.25">
      <c r="A49" s="34">
        <v>8</v>
      </c>
      <c r="B49" s="35" t="s">
        <v>102</v>
      </c>
      <c r="C49" s="36" t="s">
        <v>117</v>
      </c>
      <c r="D49" s="37" t="s">
        <v>24</v>
      </c>
      <c r="E49" s="36" t="s">
        <v>59</v>
      </c>
      <c r="F49" s="36" t="s">
        <v>46</v>
      </c>
      <c r="G49" s="38" t="s">
        <v>57</v>
      </c>
      <c r="H49" s="39" t="s">
        <v>109</v>
      </c>
      <c r="I49" s="40" t="s">
        <v>46</v>
      </c>
    </row>
    <row r="50" ht="28" customHeight="1" spans="1:9" x14ac:dyDescent="0.25">
      <c r="A50" s="34">
        <v>9</v>
      </c>
      <c r="B50" s="35" t="s">
        <v>102</v>
      </c>
      <c r="C50" s="36" t="s">
        <v>118</v>
      </c>
      <c r="D50" s="37" t="s">
        <v>12</v>
      </c>
      <c r="E50" s="36" t="s">
        <v>119</v>
      </c>
      <c r="F50" s="36" t="s">
        <v>120</v>
      </c>
      <c r="G50" s="38" t="s">
        <v>57</v>
      </c>
      <c r="H50" s="39" t="s">
        <v>107</v>
      </c>
      <c r="I50" s="40" t="s">
        <v>121</v>
      </c>
    </row>
    <row r="51" ht="28" customHeight="1" spans="1:9" x14ac:dyDescent="0.25">
      <c r="A51" s="34">
        <v>10</v>
      </c>
      <c r="B51" s="35" t="s">
        <v>102</v>
      </c>
      <c r="C51" s="36" t="s">
        <v>122</v>
      </c>
      <c r="D51" s="37" t="s">
        <v>24</v>
      </c>
      <c r="E51" s="36" t="s">
        <v>59</v>
      </c>
      <c r="F51" s="36" t="s">
        <v>46</v>
      </c>
      <c r="G51" s="38" t="s">
        <v>57</v>
      </c>
      <c r="H51" s="39" t="s">
        <v>107</v>
      </c>
      <c r="I51" s="40" t="s">
        <v>46</v>
      </c>
    </row>
    <row r="52" ht="22" customHeight="1" spans="1:9" x14ac:dyDescent="0.25">
      <c r="A52" s="34">
        <v>11</v>
      </c>
      <c r="B52" s="35" t="s">
        <v>102</v>
      </c>
      <c r="C52" s="36" t="s">
        <v>123</v>
      </c>
      <c r="D52" s="37" t="s">
        <v>24</v>
      </c>
      <c r="E52" s="36" t="s">
        <v>59</v>
      </c>
      <c r="F52" s="36" t="s">
        <v>46</v>
      </c>
      <c r="G52" s="38" t="s">
        <v>57</v>
      </c>
      <c r="H52" s="39" t="s">
        <v>107</v>
      </c>
      <c r="I52" s="40" t="s">
        <v>46</v>
      </c>
    </row>
    <row r="53" ht="22" customHeight="1" spans="1:9" x14ac:dyDescent="0.25">
      <c r="A53" s="34">
        <v>12</v>
      </c>
      <c r="B53" s="35" t="s">
        <v>102</v>
      </c>
      <c r="C53" s="36" t="s">
        <v>124</v>
      </c>
      <c r="D53" s="37" t="s">
        <v>12</v>
      </c>
      <c r="E53" s="36" t="s">
        <v>125</v>
      </c>
      <c r="F53" s="36" t="s">
        <v>120</v>
      </c>
      <c r="G53" s="38" t="s">
        <v>57</v>
      </c>
      <c r="H53" s="39" t="s">
        <v>45</v>
      </c>
      <c r="I53" s="40" t="s">
        <v>126</v>
      </c>
    </row>
    <row r="54" ht="22" customHeight="1" spans="1:9" x14ac:dyDescent="0.25">
      <c r="A54" s="34">
        <v>13</v>
      </c>
      <c r="B54" s="35" t="s">
        <v>102</v>
      </c>
      <c r="C54" s="36" t="s">
        <v>127</v>
      </c>
      <c r="D54" s="37" t="s">
        <v>21</v>
      </c>
      <c r="E54" s="36" t="s">
        <v>128</v>
      </c>
      <c r="F54" s="36" t="s">
        <v>120</v>
      </c>
      <c r="G54" s="38" t="s">
        <v>44</v>
      </c>
      <c r="H54" s="39" t="s">
        <v>45</v>
      </c>
      <c r="I54" s="40" t="s">
        <v>46</v>
      </c>
    </row>
    <row r="55" ht="28" customHeight="1" spans="1:9" x14ac:dyDescent="0.25">
      <c r="A55" s="34">
        <v>14</v>
      </c>
      <c r="B55" s="35" t="s">
        <v>102</v>
      </c>
      <c r="C55" s="36" t="s">
        <v>129</v>
      </c>
      <c r="D55" s="37" t="s">
        <v>21</v>
      </c>
      <c r="E55" s="36" t="s">
        <v>84</v>
      </c>
      <c r="F55" s="36" t="s">
        <v>85</v>
      </c>
      <c r="G55" s="38" t="s">
        <v>44</v>
      </c>
      <c r="H55" s="39" t="s">
        <v>45</v>
      </c>
      <c r="I55" s="40" t="s">
        <v>46</v>
      </c>
    </row>
    <row r="56" ht="22" customHeight="1" spans="1:9" x14ac:dyDescent="0.25">
      <c r="A56" s="34">
        <v>15</v>
      </c>
      <c r="B56" s="35" t="s">
        <v>102</v>
      </c>
      <c r="C56" s="36" t="s">
        <v>130</v>
      </c>
      <c r="D56" s="37" t="s">
        <v>24</v>
      </c>
      <c r="E56" s="36" t="s">
        <v>59</v>
      </c>
      <c r="F56" s="36" t="s">
        <v>46</v>
      </c>
      <c r="G56" s="38" t="s">
        <v>57</v>
      </c>
      <c r="H56" s="39" t="s">
        <v>109</v>
      </c>
      <c r="I56" s="40" t="s">
        <v>46</v>
      </c>
    </row>
    <row r="57" ht="22" customHeight="1" spans="1:9" x14ac:dyDescent="0.25">
      <c r="A57" s="34">
        <v>16</v>
      </c>
      <c r="B57" s="35" t="s">
        <v>102</v>
      </c>
      <c r="C57" s="36" t="s">
        <v>131</v>
      </c>
      <c r="D57" s="37" t="s">
        <v>24</v>
      </c>
      <c r="E57" s="36" t="s">
        <v>59</v>
      </c>
      <c r="F57" s="36" t="s">
        <v>46</v>
      </c>
      <c r="G57" s="38" t="s">
        <v>44</v>
      </c>
      <c r="H57" s="39" t="s">
        <v>109</v>
      </c>
      <c r="I57" s="40" t="s">
        <v>46</v>
      </c>
    </row>
    <row r="58" ht="22" customHeight="1" spans="1:9" x14ac:dyDescent="0.25">
      <c r="A58" s="34">
        <v>17</v>
      </c>
      <c r="B58" s="35" t="s">
        <v>102</v>
      </c>
      <c r="C58" s="36" t="s">
        <v>132</v>
      </c>
      <c r="D58" s="37" t="s">
        <v>24</v>
      </c>
      <c r="E58" s="36" t="s">
        <v>59</v>
      </c>
      <c r="F58" s="36" t="s">
        <v>46</v>
      </c>
      <c r="G58" s="38" t="s">
        <v>75</v>
      </c>
      <c r="H58" s="39" t="s">
        <v>109</v>
      </c>
      <c r="I58" s="40" t="s">
        <v>46</v>
      </c>
    </row>
    <row r="59" ht="22" customHeight="1" spans="1:9" x14ac:dyDescent="0.25">
      <c r="A59" s="34">
        <v>18</v>
      </c>
      <c r="B59" s="35" t="s">
        <v>102</v>
      </c>
      <c r="C59" s="36" t="s">
        <v>133</v>
      </c>
      <c r="D59" s="37" t="s">
        <v>24</v>
      </c>
      <c r="E59" s="36" t="s">
        <v>59</v>
      </c>
      <c r="F59" s="36" t="s">
        <v>46</v>
      </c>
      <c r="G59" s="38" t="s">
        <v>75</v>
      </c>
      <c r="H59" s="39" t="s">
        <v>109</v>
      </c>
      <c r="I59" s="40" t="s">
        <v>46</v>
      </c>
    </row>
    <row r="60" ht="22" customHeight="1" spans="1:9" x14ac:dyDescent="0.25">
      <c r="A60" s="34">
        <v>19</v>
      </c>
      <c r="B60" s="35" t="s">
        <v>102</v>
      </c>
      <c r="C60" s="36" t="s">
        <v>134</v>
      </c>
      <c r="D60" s="37" t="s">
        <v>24</v>
      </c>
      <c r="E60" s="36" t="s">
        <v>59</v>
      </c>
      <c r="F60" s="36" t="s">
        <v>46</v>
      </c>
      <c r="G60" s="38" t="s">
        <v>44</v>
      </c>
      <c r="H60" s="39" t="s">
        <v>109</v>
      </c>
      <c r="I60" s="40" t="s">
        <v>46</v>
      </c>
    </row>
    <row r="61" ht="22" customHeight="1" spans="1:9" x14ac:dyDescent="0.25">
      <c r="A61" s="34">
        <v>20</v>
      </c>
      <c r="B61" s="35" t="s">
        <v>102</v>
      </c>
      <c r="C61" s="36" t="s">
        <v>135</v>
      </c>
      <c r="D61" s="37" t="s">
        <v>24</v>
      </c>
      <c r="E61" s="36" t="s">
        <v>59</v>
      </c>
      <c r="F61" s="36" t="s">
        <v>46</v>
      </c>
      <c r="G61" s="38" t="s">
        <v>57</v>
      </c>
      <c r="H61" s="39" t="s">
        <v>107</v>
      </c>
      <c r="I61" s="40" t="s">
        <v>46</v>
      </c>
    </row>
    <row r="62" ht="22" customHeight="1" spans="1:9" x14ac:dyDescent="0.25">
      <c r="A62" s="34">
        <v>21</v>
      </c>
      <c r="B62" s="35" t="s">
        <v>102</v>
      </c>
      <c r="C62" s="36" t="s">
        <v>136</v>
      </c>
      <c r="D62" s="37" t="s">
        <v>21</v>
      </c>
      <c r="E62" s="36" t="s">
        <v>137</v>
      </c>
      <c r="F62" s="36" t="s">
        <v>105</v>
      </c>
      <c r="G62" s="38" t="s">
        <v>138</v>
      </c>
      <c r="H62" s="39" t="s">
        <v>45</v>
      </c>
      <c r="I62" s="40" t="s">
        <v>139</v>
      </c>
    </row>
    <row r="63" ht="28" customHeight="1" spans="1:9" x14ac:dyDescent="0.25">
      <c r="A63" s="34">
        <v>22</v>
      </c>
      <c r="B63" s="35" t="s">
        <v>102</v>
      </c>
      <c r="C63" s="36" t="s">
        <v>140</v>
      </c>
      <c r="D63" s="37" t="s">
        <v>24</v>
      </c>
      <c r="E63" s="36" t="s">
        <v>59</v>
      </c>
      <c r="F63" s="36" t="s">
        <v>46</v>
      </c>
      <c r="G63" s="38" t="s">
        <v>57</v>
      </c>
      <c r="H63" s="39" t="s">
        <v>107</v>
      </c>
      <c r="I63" s="40" t="s">
        <v>46</v>
      </c>
    </row>
    <row r="64" ht="22" customHeight="1" spans="1:9" x14ac:dyDescent="0.25">
      <c r="A64" s="34">
        <v>23</v>
      </c>
      <c r="B64" s="35" t="s">
        <v>102</v>
      </c>
      <c r="C64" s="36" t="s">
        <v>141</v>
      </c>
      <c r="D64" s="37" t="s">
        <v>24</v>
      </c>
      <c r="E64" s="36" t="s">
        <v>59</v>
      </c>
      <c r="F64" s="36" t="s">
        <v>46</v>
      </c>
      <c r="G64" s="38" t="s">
        <v>57</v>
      </c>
      <c r="H64" s="39" t="s">
        <v>109</v>
      </c>
      <c r="I64" s="40" t="s">
        <v>46</v>
      </c>
    </row>
    <row r="65" ht="22" customHeight="1" spans="1:9" x14ac:dyDescent="0.25">
      <c r="A65" s="34">
        <v>24</v>
      </c>
      <c r="B65" s="35" t="s">
        <v>102</v>
      </c>
      <c r="C65" s="36" t="s">
        <v>142</v>
      </c>
      <c r="D65" s="37" t="s">
        <v>24</v>
      </c>
      <c r="E65" s="36" t="s">
        <v>59</v>
      </c>
      <c r="F65" s="36" t="s">
        <v>46</v>
      </c>
      <c r="G65" s="38" t="s">
        <v>57</v>
      </c>
      <c r="H65" s="39" t="s">
        <v>48</v>
      </c>
      <c r="I65" s="40" t="s">
        <v>143</v>
      </c>
    </row>
    <row r="66" ht="22" customHeight="1" spans="1:9" x14ac:dyDescent="0.25">
      <c r="A66" s="34">
        <v>25</v>
      </c>
      <c r="B66" s="35" t="s">
        <v>102</v>
      </c>
      <c r="C66" s="36" t="s">
        <v>144</v>
      </c>
      <c r="D66" s="37" t="s">
        <v>21</v>
      </c>
      <c r="E66" s="36" t="s">
        <v>145</v>
      </c>
      <c r="F66" s="36" t="s">
        <v>105</v>
      </c>
      <c r="G66" s="38" t="s">
        <v>57</v>
      </c>
      <c r="H66" s="39" t="s">
        <v>45</v>
      </c>
      <c r="I66" s="40" t="s">
        <v>46</v>
      </c>
    </row>
    <row r="67" ht="28" customHeight="1" spans="1:9" x14ac:dyDescent="0.25">
      <c r="A67" s="34">
        <v>26</v>
      </c>
      <c r="B67" s="35" t="s">
        <v>102</v>
      </c>
      <c r="C67" s="36" t="s">
        <v>146</v>
      </c>
      <c r="D67" s="37" t="s">
        <v>21</v>
      </c>
      <c r="E67" s="36" t="s">
        <v>147</v>
      </c>
      <c r="F67" s="36" t="s">
        <v>105</v>
      </c>
      <c r="G67" s="38" t="s">
        <v>57</v>
      </c>
      <c r="H67" s="39" t="s">
        <v>45</v>
      </c>
      <c r="I67" s="40" t="s">
        <v>46</v>
      </c>
    </row>
    <row r="68" ht="42" customHeight="1" spans="1:9" x14ac:dyDescent="0.25">
      <c r="A68" s="34">
        <v>27</v>
      </c>
      <c r="B68" s="35" t="s">
        <v>102</v>
      </c>
      <c r="C68" s="36" t="s">
        <v>56</v>
      </c>
      <c r="D68" s="37" t="s">
        <v>21</v>
      </c>
      <c r="E68" s="36" t="s">
        <v>148</v>
      </c>
      <c r="F68" s="36" t="s">
        <v>56</v>
      </c>
      <c r="G68" s="38" t="s">
        <v>57</v>
      </c>
      <c r="H68" s="39" t="s">
        <v>45</v>
      </c>
      <c r="I68" s="40" t="s">
        <v>149</v>
      </c>
    </row>
    <row r="69" ht="28" customHeight="1" spans="1:9" x14ac:dyDescent="0.25">
      <c r="A69" s="34">
        <v>28</v>
      </c>
      <c r="B69" s="35" t="s">
        <v>102</v>
      </c>
      <c r="C69" s="36" t="s">
        <v>150</v>
      </c>
      <c r="D69" s="37" t="s">
        <v>21</v>
      </c>
      <c r="E69" s="36" t="s">
        <v>151</v>
      </c>
      <c r="F69" s="36" t="s">
        <v>120</v>
      </c>
      <c r="G69" s="38" t="s">
        <v>44</v>
      </c>
      <c r="H69" s="39" t="s">
        <v>45</v>
      </c>
      <c r="I69" s="40" t="s">
        <v>152</v>
      </c>
    </row>
    <row r="70" ht="22" customHeight="1" spans="1:9" x14ac:dyDescent="0.25">
      <c r="A70" s="34">
        <v>29</v>
      </c>
      <c r="B70" s="35" t="s">
        <v>102</v>
      </c>
      <c r="C70" s="36" t="s">
        <v>153</v>
      </c>
      <c r="D70" s="37" t="s">
        <v>12</v>
      </c>
      <c r="E70" s="36" t="s">
        <v>154</v>
      </c>
      <c r="F70" s="36" t="s">
        <v>120</v>
      </c>
      <c r="G70" s="38" t="s">
        <v>57</v>
      </c>
      <c r="H70" s="39" t="s">
        <v>48</v>
      </c>
      <c r="I70" s="40" t="s">
        <v>155</v>
      </c>
    </row>
    <row r="71" ht="22" customHeight="1" spans="1:9" x14ac:dyDescent="0.25">
      <c r="A71" s="34">
        <v>30</v>
      </c>
      <c r="B71" s="35" t="s">
        <v>102</v>
      </c>
      <c r="C71" s="36" t="s">
        <v>156</v>
      </c>
      <c r="D71" s="37" t="s">
        <v>21</v>
      </c>
      <c r="E71" s="36" t="s">
        <v>125</v>
      </c>
      <c r="F71" s="36" t="s">
        <v>120</v>
      </c>
      <c r="G71" s="38" t="s">
        <v>44</v>
      </c>
      <c r="H71" s="39" t="s">
        <v>45</v>
      </c>
      <c r="I71" s="40" t="s">
        <v>46</v>
      </c>
    </row>
    <row r="72" ht="22" customHeight="1" spans="1:9" x14ac:dyDescent="0.25">
      <c r="A72" s="34">
        <v>31</v>
      </c>
      <c r="B72" s="35" t="s">
        <v>102</v>
      </c>
      <c r="C72" s="36" t="s">
        <v>157</v>
      </c>
      <c r="D72" s="37" t="s">
        <v>21</v>
      </c>
      <c r="E72" s="36" t="s">
        <v>158</v>
      </c>
      <c r="F72" s="36" t="s">
        <v>43</v>
      </c>
      <c r="G72" s="38" t="s">
        <v>44</v>
      </c>
      <c r="H72" s="39" t="s">
        <v>45</v>
      </c>
      <c r="I72" s="40" t="s">
        <v>46</v>
      </c>
    </row>
    <row r="73" ht="28" customHeight="1" spans="1:9" x14ac:dyDescent="0.25">
      <c r="A73" s="34">
        <v>32</v>
      </c>
      <c r="B73" s="35" t="s">
        <v>102</v>
      </c>
      <c r="C73" s="36" t="s">
        <v>159</v>
      </c>
      <c r="D73" s="37" t="s">
        <v>24</v>
      </c>
      <c r="E73" s="36" t="s">
        <v>59</v>
      </c>
      <c r="F73" s="36" t="s">
        <v>46</v>
      </c>
      <c r="G73" s="38" t="s">
        <v>57</v>
      </c>
      <c r="H73" s="39" t="s">
        <v>109</v>
      </c>
      <c r="I73" s="40" t="s">
        <v>46</v>
      </c>
    </row>
    <row r="74" ht="28" customHeight="1" spans="1:9" x14ac:dyDescent="0.25">
      <c r="A74" s="34">
        <v>33</v>
      </c>
      <c r="B74" s="35" t="s">
        <v>102</v>
      </c>
      <c r="C74" s="36" t="s">
        <v>160</v>
      </c>
      <c r="D74" s="37" t="s">
        <v>24</v>
      </c>
      <c r="E74" s="36" t="s">
        <v>59</v>
      </c>
      <c r="F74" s="36" t="s">
        <v>46</v>
      </c>
      <c r="G74" s="38" t="s">
        <v>44</v>
      </c>
      <c r="H74" s="39" t="s">
        <v>107</v>
      </c>
      <c r="I74" s="40" t="s">
        <v>161</v>
      </c>
    </row>
    <row r="75" ht="28" customHeight="1" spans="1:9" x14ac:dyDescent="0.25">
      <c r="A75" s="34">
        <v>34</v>
      </c>
      <c r="B75" s="35" t="s">
        <v>102</v>
      </c>
      <c r="C75" s="36" t="s">
        <v>162</v>
      </c>
      <c r="D75" s="37" t="s">
        <v>24</v>
      </c>
      <c r="E75" s="36" t="s">
        <v>59</v>
      </c>
      <c r="F75" s="36" t="s">
        <v>46</v>
      </c>
      <c r="G75" s="38" t="s">
        <v>138</v>
      </c>
      <c r="H75" s="39" t="s">
        <v>107</v>
      </c>
      <c r="I75" s="40" t="s">
        <v>161</v>
      </c>
    </row>
    <row r="77" ht="20" customHeight="1" spans="1:9" x14ac:dyDescent="0.25">
      <c r="A77" s="30" t="s">
        <v>27</v>
      </c>
      <c r="B77" s="30"/>
      <c r="C77" s="30"/>
      <c r="D77" s="30"/>
      <c r="E77" s="30"/>
      <c r="F77" s="31" t="s">
        <v>28</v>
      </c>
      <c r="G77" s="31"/>
      <c r="H77" s="31"/>
      <c r="I77" s="31"/>
    </row>
  </sheetData>
  <autoFilter ref="A7:I75"/>
  <mergeCells count="10">
    <mergeCell ref="A1:G1"/>
    <mergeCell ref="A2:G2"/>
    <mergeCell ref="A3:G3"/>
    <mergeCell ref="A6:I6"/>
    <mergeCell ref="A8:I8"/>
    <mergeCell ref="A19:I19"/>
    <mergeCell ref="A31:I31"/>
    <mergeCell ref="A41:I41"/>
    <mergeCell ref="A77:E77"/>
    <mergeCell ref="F77:I77"/>
  </mergeCells>
  <conditionalFormatting sqref="D8:D75">
    <cfRule type="cellIs" dxfId="2" priority="1" operator="equal">
      <formula>"Sí"</formula>
    </cfRule>
    <cfRule type="cellIs" dxfId="3" priority="2" operator="equal">
      <formula>"Parcial"</formula>
    </cfRule>
    <cfRule type="cellIs" dxfId="4" priority="3" operator="equal">
      <formula>"No"</formula>
    </cfRule>
  </conditionalFormatting>
  <dataValidations count="1">
    <dataValidation type="list" allowBlank="1" showErrorMessage="1" error="Usa Sí, Parcial o No." sqref="D8:D75">
      <formula1>"Sí,Parcial,No"</formula1>
    </dataValidation>
  </dataValidations>
  <pageMargins left="0.3" right="0.3" top="0.4" bottom="0.5" header="0.2" footer="0.25"/>
  <pageSetup paperSize="1" orientation="landscape" fitToWidth="1" fitToHeight="0"/>
  <headerFooter>
    <oddFooter>&amp;R&amp;8Checklist Convocatorias · Cumplimiento · Pág.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9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4" customWidth="1"/>
    <col min="3" max="3" width="20" customWidth="1"/>
    <col min="4" max="4" width="15" customWidth="1"/>
    <col min="5" max="5" width="14" customWidth="1"/>
    <col min="6" max="6" width="34" customWidth="1"/>
  </cols>
  <sheetData>
    <row r="1" ht="17" customHeight="1" spans="1:6" x14ac:dyDescent="0.25">
      <c r="A1" s="1" t="s">
        <v>0</v>
      </c>
      <c r="B1" s="1"/>
      <c r="C1" s="1"/>
      <c r="D1" s="1"/>
      <c r="E1" s="2"/>
      <c r="F1" s="3"/>
    </row>
    <row r="2" ht="30" customHeight="1" spans="1:6" x14ac:dyDescent="0.25">
      <c r="A2" s="4" t="s">
        <v>163</v>
      </c>
      <c r="B2" s="4"/>
      <c r="C2" s="4"/>
      <c r="D2" s="4"/>
      <c r="E2" s="2"/>
      <c r="F2" s="3"/>
    </row>
    <row r="3" ht="17" customHeight="1" spans="1:6" x14ac:dyDescent="0.25">
      <c r="A3" s="5" t="s">
        <v>164</v>
      </c>
      <c r="B3" s="5"/>
      <c r="C3" s="5"/>
      <c r="D3" s="5"/>
      <c r="E3" s="2"/>
      <c r="F3" s="3"/>
    </row>
    <row r="4" ht="6" customHeight="1" x14ac:dyDescent="0.25"/>
    <row r="5" ht="6" customHeight="1" x14ac:dyDescent="0.25"/>
    <row r="6" ht="30" customHeight="1" spans="1:6" x14ac:dyDescent="0.25">
      <c r="A6" s="15" t="s">
        <v>165</v>
      </c>
      <c r="B6" s="15" t="s">
        <v>166</v>
      </c>
      <c r="C6" s="15" t="s">
        <v>36</v>
      </c>
      <c r="D6" s="15" t="s">
        <v>37</v>
      </c>
      <c r="E6" s="15" t="s">
        <v>167</v>
      </c>
      <c r="F6" s="15" t="s">
        <v>168</v>
      </c>
    </row>
    <row r="7" ht="20" customHeight="1" spans="1:6" x14ac:dyDescent="0.25">
      <c r="A7" s="41">
        <v>1</v>
      </c>
      <c r="B7" s="42" t="s">
        <v>169</v>
      </c>
      <c r="C7" s="42" t="s">
        <v>120</v>
      </c>
      <c r="D7" s="42" t="s">
        <v>170</v>
      </c>
      <c r="E7" s="43" t="s">
        <v>21</v>
      </c>
      <c r="F7" s="42" t="s">
        <v>150</v>
      </c>
    </row>
    <row r="8" ht="26" customHeight="1" spans="1:6" x14ac:dyDescent="0.25">
      <c r="A8" s="44">
        <v>2</v>
      </c>
      <c r="B8" s="45" t="s">
        <v>171</v>
      </c>
      <c r="C8" s="45" t="s">
        <v>120</v>
      </c>
      <c r="D8" s="45" t="s">
        <v>57</v>
      </c>
      <c r="E8" s="46" t="s">
        <v>21</v>
      </c>
      <c r="F8" s="45" t="s">
        <v>153</v>
      </c>
    </row>
    <row r="9" ht="20" customHeight="1" spans="1:6" x14ac:dyDescent="0.25">
      <c r="A9" s="41">
        <v>3</v>
      </c>
      <c r="B9" s="42" t="s">
        <v>172</v>
      </c>
      <c r="C9" s="42" t="s">
        <v>120</v>
      </c>
      <c r="D9" s="42" t="s">
        <v>57</v>
      </c>
      <c r="E9" s="43" t="s">
        <v>21</v>
      </c>
      <c r="F9" s="42" t="s">
        <v>150</v>
      </c>
    </row>
    <row r="10" ht="26" customHeight="1" spans="1:6" x14ac:dyDescent="0.25">
      <c r="A10" s="44">
        <v>4</v>
      </c>
      <c r="B10" s="45" t="s">
        <v>173</v>
      </c>
      <c r="C10" s="45" t="s">
        <v>120</v>
      </c>
      <c r="D10" s="45" t="s">
        <v>57</v>
      </c>
      <c r="E10" s="46" t="s">
        <v>21</v>
      </c>
      <c r="F10" s="45" t="s">
        <v>118</v>
      </c>
    </row>
    <row r="11" ht="39" customHeight="1" spans="1:6" x14ac:dyDescent="0.25">
      <c r="A11" s="41">
        <v>5</v>
      </c>
      <c r="B11" s="42" t="s">
        <v>174</v>
      </c>
      <c r="C11" s="42" t="s">
        <v>120</v>
      </c>
      <c r="D11" s="42" t="s">
        <v>57</v>
      </c>
      <c r="E11" s="43" t="s">
        <v>21</v>
      </c>
      <c r="F11" s="42" t="s">
        <v>175</v>
      </c>
    </row>
    <row r="12" ht="20" customHeight="1" spans="1:6" x14ac:dyDescent="0.25">
      <c r="A12" s="44">
        <v>6</v>
      </c>
      <c r="B12" s="45" t="s">
        <v>176</v>
      </c>
      <c r="C12" s="45" t="s">
        <v>120</v>
      </c>
      <c r="D12" s="45" t="s">
        <v>57</v>
      </c>
      <c r="E12" s="46" t="s">
        <v>21</v>
      </c>
      <c r="F12" s="45" t="s">
        <v>127</v>
      </c>
    </row>
    <row r="13" ht="39" customHeight="1" spans="1:6" x14ac:dyDescent="0.25">
      <c r="A13" s="41">
        <v>7</v>
      </c>
      <c r="B13" s="42" t="s">
        <v>177</v>
      </c>
      <c r="C13" s="42" t="s">
        <v>71</v>
      </c>
      <c r="D13" s="42" t="s">
        <v>178</v>
      </c>
      <c r="E13" s="43" t="s">
        <v>21</v>
      </c>
      <c r="F13" s="42" t="s">
        <v>179</v>
      </c>
    </row>
    <row r="14" ht="20" customHeight="1" spans="1:6" x14ac:dyDescent="0.25">
      <c r="A14" s="44">
        <v>8</v>
      </c>
      <c r="B14" s="45" t="s">
        <v>180</v>
      </c>
      <c r="C14" s="45" t="s">
        <v>71</v>
      </c>
      <c r="D14" s="45" t="s">
        <v>75</v>
      </c>
      <c r="E14" s="46" t="s">
        <v>21</v>
      </c>
      <c r="F14" s="45" t="s">
        <v>76</v>
      </c>
    </row>
    <row r="15" ht="20" customHeight="1" spans="1:6" x14ac:dyDescent="0.25">
      <c r="A15" s="41">
        <v>9</v>
      </c>
      <c r="B15" s="42" t="s">
        <v>181</v>
      </c>
      <c r="C15" s="42" t="s">
        <v>85</v>
      </c>
      <c r="D15" s="42" t="s">
        <v>170</v>
      </c>
      <c r="E15" s="47" t="s">
        <v>24</v>
      </c>
      <c r="F15" s="42" t="s">
        <v>46</v>
      </c>
    </row>
    <row r="16" ht="39" customHeight="1" spans="1:6" x14ac:dyDescent="0.25">
      <c r="A16" s="44">
        <v>10</v>
      </c>
      <c r="B16" s="45" t="s">
        <v>182</v>
      </c>
      <c r="C16" s="45" t="s">
        <v>85</v>
      </c>
      <c r="D16" s="45" t="s">
        <v>170</v>
      </c>
      <c r="E16" s="46" t="s">
        <v>21</v>
      </c>
      <c r="F16" s="45" t="s">
        <v>183</v>
      </c>
    </row>
    <row r="17" ht="20" customHeight="1" spans="1:6" x14ac:dyDescent="0.25">
      <c r="A17" s="41">
        <v>12</v>
      </c>
      <c r="B17" s="42" t="s">
        <v>184</v>
      </c>
      <c r="C17" s="42" t="s">
        <v>67</v>
      </c>
      <c r="D17" s="42" t="s">
        <v>57</v>
      </c>
      <c r="E17" s="47" t="s">
        <v>24</v>
      </c>
      <c r="F17" s="42" t="s">
        <v>46</v>
      </c>
    </row>
    <row r="18" ht="20" customHeight="1" spans="1:6" x14ac:dyDescent="0.25">
      <c r="A18" s="44">
        <v>13</v>
      </c>
      <c r="B18" s="45" t="s">
        <v>185</v>
      </c>
      <c r="C18" s="45" t="s">
        <v>67</v>
      </c>
      <c r="D18" s="45" t="s">
        <v>170</v>
      </c>
      <c r="E18" s="46" t="s">
        <v>21</v>
      </c>
      <c r="F18" s="45" t="s">
        <v>65</v>
      </c>
    </row>
    <row r="19" ht="20" customHeight="1" spans="1:6" x14ac:dyDescent="0.25">
      <c r="A19" s="41">
        <v>14</v>
      </c>
      <c r="B19" s="42" t="s">
        <v>186</v>
      </c>
      <c r="C19" s="42" t="s">
        <v>67</v>
      </c>
      <c r="D19" s="42" t="s">
        <v>57</v>
      </c>
      <c r="E19" s="47" t="s">
        <v>24</v>
      </c>
      <c r="F19" s="42" t="s">
        <v>46</v>
      </c>
    </row>
    <row r="20" ht="20" customHeight="1" spans="1:6" x14ac:dyDescent="0.25">
      <c r="A20" s="44">
        <v>15</v>
      </c>
      <c r="B20" s="45" t="s">
        <v>187</v>
      </c>
      <c r="C20" s="45" t="s">
        <v>67</v>
      </c>
      <c r="D20" s="45" t="s">
        <v>57</v>
      </c>
      <c r="E20" s="48" t="s">
        <v>24</v>
      </c>
      <c r="F20" s="45" t="s">
        <v>46</v>
      </c>
    </row>
    <row r="21" ht="20" customHeight="1" spans="1:6" x14ac:dyDescent="0.25">
      <c r="A21" s="41">
        <v>16</v>
      </c>
      <c r="B21" s="42" t="s">
        <v>188</v>
      </c>
      <c r="C21" s="42" t="s">
        <v>105</v>
      </c>
      <c r="D21" s="42" t="s">
        <v>75</v>
      </c>
      <c r="E21" s="43" t="s">
        <v>21</v>
      </c>
      <c r="F21" s="42" t="s">
        <v>136</v>
      </c>
    </row>
    <row r="22" ht="20" customHeight="1" spans="1:6" x14ac:dyDescent="0.25">
      <c r="A22" s="44">
        <v>17</v>
      </c>
      <c r="B22" s="45" t="s">
        <v>189</v>
      </c>
      <c r="C22" s="45" t="s">
        <v>105</v>
      </c>
      <c r="D22" s="45" t="s">
        <v>57</v>
      </c>
      <c r="E22" s="46" t="s">
        <v>21</v>
      </c>
      <c r="F22" s="45" t="s">
        <v>103</v>
      </c>
    </row>
    <row r="23" ht="20" customHeight="1" spans="1:6" x14ac:dyDescent="0.25">
      <c r="A23" s="41">
        <v>18</v>
      </c>
      <c r="B23" s="42" t="s">
        <v>190</v>
      </c>
      <c r="C23" s="42" t="s">
        <v>105</v>
      </c>
      <c r="D23" s="42" t="s">
        <v>57</v>
      </c>
      <c r="E23" s="43" t="s">
        <v>21</v>
      </c>
      <c r="F23" s="42" t="s">
        <v>144</v>
      </c>
    </row>
    <row r="24" ht="20" customHeight="1" spans="1:6" x14ac:dyDescent="0.25">
      <c r="A24" s="44">
        <v>19</v>
      </c>
      <c r="B24" s="45" t="s">
        <v>191</v>
      </c>
      <c r="C24" s="45" t="s">
        <v>105</v>
      </c>
      <c r="D24" s="45" t="s">
        <v>170</v>
      </c>
      <c r="E24" s="46" t="s">
        <v>21</v>
      </c>
      <c r="F24" s="45" t="s">
        <v>146</v>
      </c>
    </row>
    <row r="25" ht="20" customHeight="1" spans="1:6" x14ac:dyDescent="0.25">
      <c r="A25" s="41">
        <v>20</v>
      </c>
      <c r="B25" s="42" t="s">
        <v>192</v>
      </c>
      <c r="C25" s="42" t="s">
        <v>105</v>
      </c>
      <c r="D25" s="42" t="s">
        <v>57</v>
      </c>
      <c r="E25" s="47" t="s">
        <v>24</v>
      </c>
      <c r="F25" s="42" t="s">
        <v>46</v>
      </c>
    </row>
    <row r="26" ht="20" customHeight="1" spans="1:6" x14ac:dyDescent="0.25">
      <c r="A26" s="44">
        <v>21</v>
      </c>
      <c r="B26" s="45" t="s">
        <v>193</v>
      </c>
      <c r="C26" s="45" t="s">
        <v>105</v>
      </c>
      <c r="D26" s="45" t="s">
        <v>170</v>
      </c>
      <c r="E26" s="48" t="s">
        <v>24</v>
      </c>
      <c r="F26" s="45" t="s">
        <v>46</v>
      </c>
    </row>
    <row r="27" ht="26" customHeight="1" spans="1:6" x14ac:dyDescent="0.25">
      <c r="A27" s="41">
        <v>22</v>
      </c>
      <c r="B27" s="42" t="s">
        <v>194</v>
      </c>
      <c r="C27" s="42" t="s">
        <v>43</v>
      </c>
      <c r="D27" s="42" t="s">
        <v>170</v>
      </c>
      <c r="E27" s="43" t="s">
        <v>21</v>
      </c>
      <c r="F27" s="42" t="s">
        <v>195</v>
      </c>
    </row>
    <row r="28" ht="20" customHeight="1" spans="1:6" x14ac:dyDescent="0.25">
      <c r="A28" s="44">
        <v>23</v>
      </c>
      <c r="B28" s="45" t="s">
        <v>196</v>
      </c>
      <c r="C28" s="45" t="s">
        <v>43</v>
      </c>
      <c r="D28" s="45" t="s">
        <v>170</v>
      </c>
      <c r="E28" s="46" t="s">
        <v>21</v>
      </c>
      <c r="F28" s="45" t="s">
        <v>157</v>
      </c>
    </row>
    <row r="29" ht="20" customHeight="1" spans="1:6" x14ac:dyDescent="0.25">
      <c r="A29" s="41">
        <v>24</v>
      </c>
      <c r="B29" s="42" t="s">
        <v>197</v>
      </c>
      <c r="C29" s="42" t="s">
        <v>43</v>
      </c>
      <c r="D29" s="42" t="s">
        <v>170</v>
      </c>
      <c r="E29" s="47" t="s">
        <v>24</v>
      </c>
      <c r="F29" s="42" t="s">
        <v>46</v>
      </c>
    </row>
    <row r="30" ht="26" customHeight="1" spans="1:6" x14ac:dyDescent="0.25">
      <c r="A30" s="44">
        <v>25</v>
      </c>
      <c r="B30" s="45" t="s">
        <v>52</v>
      </c>
      <c r="C30" s="45" t="s">
        <v>43</v>
      </c>
      <c r="D30" s="45" t="s">
        <v>198</v>
      </c>
      <c r="E30" s="46" t="s">
        <v>21</v>
      </c>
      <c r="F30" s="45" t="s">
        <v>52</v>
      </c>
    </row>
    <row r="31" ht="20" customHeight="1" spans="1:6" x14ac:dyDescent="0.25">
      <c r="A31" s="41">
        <v>26</v>
      </c>
      <c r="B31" s="42" t="s">
        <v>199</v>
      </c>
      <c r="C31" s="42" t="s">
        <v>43</v>
      </c>
      <c r="D31" s="42" t="s">
        <v>170</v>
      </c>
      <c r="E31" s="43" t="s">
        <v>21</v>
      </c>
      <c r="F31" s="42" t="s">
        <v>50</v>
      </c>
    </row>
    <row r="32" ht="20" customHeight="1" spans="1:6" x14ac:dyDescent="0.25">
      <c r="A32" s="44">
        <v>27</v>
      </c>
      <c r="B32" s="45" t="s">
        <v>200</v>
      </c>
      <c r="C32" s="45" t="s">
        <v>43</v>
      </c>
      <c r="D32" s="45" t="s">
        <v>170</v>
      </c>
      <c r="E32" s="48" t="s">
        <v>24</v>
      </c>
      <c r="F32" s="45" t="s">
        <v>46</v>
      </c>
    </row>
    <row r="33" ht="20" customHeight="1" spans="1:6" x14ac:dyDescent="0.25">
      <c r="A33" s="41">
        <v>28</v>
      </c>
      <c r="B33" s="42" t="s">
        <v>201</v>
      </c>
      <c r="C33" s="42" t="s">
        <v>202</v>
      </c>
      <c r="D33" s="42" t="s">
        <v>57</v>
      </c>
      <c r="E33" s="47" t="s">
        <v>24</v>
      </c>
      <c r="F33" s="42" t="s">
        <v>46</v>
      </c>
    </row>
    <row r="34" ht="20" customHeight="1" spans="1:6" x14ac:dyDescent="0.25">
      <c r="A34" s="44">
        <v>29</v>
      </c>
      <c r="B34" s="45" t="s">
        <v>203</v>
      </c>
      <c r="C34" s="45" t="s">
        <v>202</v>
      </c>
      <c r="D34" s="45" t="s">
        <v>170</v>
      </c>
      <c r="E34" s="48" t="s">
        <v>24</v>
      </c>
      <c r="F34" s="45" t="s">
        <v>46</v>
      </c>
    </row>
    <row r="35" ht="20" customHeight="1" spans="1:6" x14ac:dyDescent="0.25">
      <c r="A35" s="41">
        <v>30</v>
      </c>
      <c r="B35" s="42" t="s">
        <v>204</v>
      </c>
      <c r="C35" s="42" t="s">
        <v>56</v>
      </c>
      <c r="D35" s="42" t="s">
        <v>57</v>
      </c>
      <c r="E35" s="47" t="s">
        <v>24</v>
      </c>
      <c r="F35" s="42" t="s">
        <v>46</v>
      </c>
    </row>
    <row r="36" ht="20" customHeight="1" spans="1:6" x14ac:dyDescent="0.25">
      <c r="A36" s="44">
        <v>31</v>
      </c>
      <c r="B36" s="45" t="s">
        <v>205</v>
      </c>
      <c r="C36" s="45" t="s">
        <v>56</v>
      </c>
      <c r="D36" s="45" t="s">
        <v>57</v>
      </c>
      <c r="E36" s="48" t="s">
        <v>24</v>
      </c>
      <c r="F36" s="45" t="s">
        <v>46</v>
      </c>
    </row>
    <row r="37" ht="20" customHeight="1" spans="1:6" x14ac:dyDescent="0.25">
      <c r="A37" s="41">
        <v>32</v>
      </c>
      <c r="B37" s="42" t="s">
        <v>206</v>
      </c>
      <c r="C37" s="42" t="s">
        <v>56</v>
      </c>
      <c r="D37" s="42" t="s">
        <v>57</v>
      </c>
      <c r="E37" s="47" t="s">
        <v>24</v>
      </c>
      <c r="F37" s="42" t="s">
        <v>46</v>
      </c>
    </row>
    <row r="38" ht="20" customHeight="1" spans="1:6" x14ac:dyDescent="0.25">
      <c r="A38" s="44">
        <v>33</v>
      </c>
      <c r="B38" s="45" t="s">
        <v>207</v>
      </c>
      <c r="C38" s="45" t="s">
        <v>56</v>
      </c>
      <c r="D38" s="45" t="s">
        <v>57</v>
      </c>
      <c r="E38" s="48" t="s">
        <v>24</v>
      </c>
      <c r="F38" s="45" t="s">
        <v>46</v>
      </c>
    </row>
    <row r="39" ht="20" customHeight="1" spans="1:6" x14ac:dyDescent="0.25">
      <c r="A39" s="41">
        <v>34</v>
      </c>
      <c r="B39" s="42" t="s">
        <v>208</v>
      </c>
      <c r="C39" s="42" t="s">
        <v>56</v>
      </c>
      <c r="D39" s="42" t="s">
        <v>57</v>
      </c>
      <c r="E39" s="47" t="s">
        <v>24</v>
      </c>
      <c r="F39" s="42" t="s">
        <v>46</v>
      </c>
    </row>
    <row r="40" ht="20" customHeight="1" spans="1:6" x14ac:dyDescent="0.25">
      <c r="A40" s="44">
        <v>35</v>
      </c>
      <c r="B40" s="45" t="s">
        <v>209</v>
      </c>
      <c r="C40" s="45" t="s">
        <v>56</v>
      </c>
      <c r="D40" s="45" t="s">
        <v>57</v>
      </c>
      <c r="E40" s="48" t="s">
        <v>24</v>
      </c>
      <c r="F40" s="45" t="s">
        <v>46</v>
      </c>
    </row>
    <row r="41" ht="20" customHeight="1" spans="1:6" x14ac:dyDescent="0.25">
      <c r="A41" s="41">
        <v>36</v>
      </c>
      <c r="B41" s="42" t="s">
        <v>210</v>
      </c>
      <c r="C41" s="42" t="s">
        <v>56</v>
      </c>
      <c r="D41" s="42" t="s">
        <v>57</v>
      </c>
      <c r="E41" s="47" t="s">
        <v>24</v>
      </c>
      <c r="F41" s="42" t="s">
        <v>46</v>
      </c>
    </row>
    <row r="42" ht="20" customHeight="1" spans="1:6" x14ac:dyDescent="0.25">
      <c r="A42" s="44">
        <v>37</v>
      </c>
      <c r="B42" s="45" t="s">
        <v>211</v>
      </c>
      <c r="C42" s="45" t="s">
        <v>56</v>
      </c>
      <c r="D42" s="45" t="s">
        <v>57</v>
      </c>
      <c r="E42" s="48" t="s">
        <v>24</v>
      </c>
      <c r="F42" s="45" t="s">
        <v>46</v>
      </c>
    </row>
    <row r="43" ht="20" customHeight="1" spans="1:6" x14ac:dyDescent="0.25">
      <c r="A43" s="41">
        <v>38</v>
      </c>
      <c r="B43" s="42" t="s">
        <v>212</v>
      </c>
      <c r="C43" s="42" t="s">
        <v>56</v>
      </c>
      <c r="D43" s="42" t="s">
        <v>57</v>
      </c>
      <c r="E43" s="47" t="s">
        <v>24</v>
      </c>
      <c r="F43" s="42" t="s">
        <v>46</v>
      </c>
    </row>
    <row r="44" ht="20" customHeight="1" spans="1:6" x14ac:dyDescent="0.25">
      <c r="A44" s="44">
        <v>39</v>
      </c>
      <c r="B44" s="45" t="s">
        <v>213</v>
      </c>
      <c r="C44" s="45" t="s">
        <v>56</v>
      </c>
      <c r="D44" s="45" t="s">
        <v>57</v>
      </c>
      <c r="E44" s="48" t="s">
        <v>24</v>
      </c>
      <c r="F44" s="45" t="s">
        <v>46</v>
      </c>
    </row>
    <row r="45" ht="26" customHeight="1" spans="1:6" x14ac:dyDescent="0.25">
      <c r="A45" s="41">
        <v>40</v>
      </c>
      <c r="B45" s="42" t="s">
        <v>214</v>
      </c>
      <c r="C45" s="42" t="s">
        <v>56</v>
      </c>
      <c r="D45" s="42" t="s">
        <v>57</v>
      </c>
      <c r="E45" s="43" t="s">
        <v>21</v>
      </c>
      <c r="F45" s="42" t="s">
        <v>215</v>
      </c>
    </row>
    <row r="46" ht="20" customHeight="1" spans="1:6" x14ac:dyDescent="0.25">
      <c r="A46" s="44">
        <v>41</v>
      </c>
      <c r="B46" s="45" t="s">
        <v>216</v>
      </c>
      <c r="C46" s="45" t="s">
        <v>56</v>
      </c>
      <c r="D46" s="45" t="s">
        <v>57</v>
      </c>
      <c r="E46" s="48" t="s">
        <v>24</v>
      </c>
      <c r="F46" s="45" t="s">
        <v>46</v>
      </c>
    </row>
    <row r="47" ht="20" customHeight="1" spans="1:6" x14ac:dyDescent="0.25">
      <c r="A47" s="41">
        <v>42</v>
      </c>
      <c r="B47" s="42" t="s">
        <v>217</v>
      </c>
      <c r="C47" s="42" t="s">
        <v>56</v>
      </c>
      <c r="D47" s="42" t="s">
        <v>57</v>
      </c>
      <c r="E47" s="47" t="s">
        <v>24</v>
      </c>
      <c r="F47" s="42" t="s">
        <v>46</v>
      </c>
    </row>
    <row r="48" ht="20" customHeight="1" spans="1:6" x14ac:dyDescent="0.25">
      <c r="A48" s="44">
        <v>43</v>
      </c>
      <c r="B48" s="45" t="s">
        <v>218</v>
      </c>
      <c r="C48" s="45" t="s">
        <v>56</v>
      </c>
      <c r="D48" s="45" t="s">
        <v>57</v>
      </c>
      <c r="E48" s="46" t="s">
        <v>21</v>
      </c>
      <c r="F48" s="45" t="s">
        <v>56</v>
      </c>
    </row>
    <row r="49" ht="20" customHeight="1" spans="1:6" x14ac:dyDescent="0.25">
      <c r="A49" s="41">
        <v>44</v>
      </c>
      <c r="B49" s="42" t="s">
        <v>219</v>
      </c>
      <c r="C49" s="42" t="s">
        <v>56</v>
      </c>
      <c r="D49" s="42" t="s">
        <v>57</v>
      </c>
      <c r="E49" s="47" t="s">
        <v>24</v>
      </c>
      <c r="F49" s="42" t="s">
        <v>46</v>
      </c>
    </row>
    <row r="50" ht="20" customHeight="1" spans="1:6" x14ac:dyDescent="0.25">
      <c r="A50" s="44">
        <v>45</v>
      </c>
      <c r="B50" s="45" t="s">
        <v>220</v>
      </c>
      <c r="C50" s="45" t="s">
        <v>56</v>
      </c>
      <c r="D50" s="45" t="s">
        <v>57</v>
      </c>
      <c r="E50" s="48" t="s">
        <v>24</v>
      </c>
      <c r="F50" s="45" t="s">
        <v>46</v>
      </c>
    </row>
    <row r="51" ht="20" customHeight="1" spans="1:6" x14ac:dyDescent="0.25">
      <c r="A51" s="41">
        <v>46</v>
      </c>
      <c r="B51" s="42" t="s">
        <v>221</v>
      </c>
      <c r="C51" s="42" t="s">
        <v>56</v>
      </c>
      <c r="D51" s="42" t="s">
        <v>57</v>
      </c>
      <c r="E51" s="47" t="s">
        <v>24</v>
      </c>
      <c r="F51" s="42" t="s">
        <v>46</v>
      </c>
    </row>
    <row r="52" ht="20" customHeight="1" spans="1:6" x14ac:dyDescent="0.25">
      <c r="A52" s="44">
        <v>47</v>
      </c>
      <c r="B52" s="45" t="s">
        <v>222</v>
      </c>
      <c r="C52" s="45" t="s">
        <v>56</v>
      </c>
      <c r="D52" s="45" t="s">
        <v>57</v>
      </c>
      <c r="E52" s="48" t="s">
        <v>24</v>
      </c>
      <c r="F52" s="45" t="s">
        <v>46</v>
      </c>
    </row>
    <row r="53" ht="20" customHeight="1" spans="1:6" x14ac:dyDescent="0.25">
      <c r="A53" s="41">
        <v>48</v>
      </c>
      <c r="B53" s="42" t="s">
        <v>223</v>
      </c>
      <c r="C53" s="42" t="s">
        <v>56</v>
      </c>
      <c r="D53" s="42" t="s">
        <v>57</v>
      </c>
      <c r="E53" s="47" t="s">
        <v>24</v>
      </c>
      <c r="F53" s="42" t="s">
        <v>46</v>
      </c>
    </row>
    <row r="54" ht="20" customHeight="1" spans="1:6" x14ac:dyDescent="0.25">
      <c r="A54" s="44">
        <v>49</v>
      </c>
      <c r="B54" s="45" t="s">
        <v>224</v>
      </c>
      <c r="C54" s="45" t="s">
        <v>56</v>
      </c>
      <c r="D54" s="45" t="s">
        <v>57</v>
      </c>
      <c r="E54" s="48" t="s">
        <v>24</v>
      </c>
      <c r="F54" s="45" t="s">
        <v>46</v>
      </c>
    </row>
    <row r="55" ht="20" customHeight="1" spans="1:6" x14ac:dyDescent="0.25">
      <c r="A55" s="41">
        <v>50</v>
      </c>
      <c r="B55" s="42" t="s">
        <v>225</v>
      </c>
      <c r="C55" s="42" t="s">
        <v>56</v>
      </c>
      <c r="D55" s="42" t="s">
        <v>57</v>
      </c>
      <c r="E55" s="47" t="s">
        <v>24</v>
      </c>
      <c r="F55" s="42" t="s">
        <v>46</v>
      </c>
    </row>
    <row r="56" ht="20" customHeight="1" spans="1:6" x14ac:dyDescent="0.25">
      <c r="A56" s="44">
        <v>51</v>
      </c>
      <c r="B56" s="45" t="s">
        <v>226</v>
      </c>
      <c r="C56" s="45" t="s">
        <v>56</v>
      </c>
      <c r="D56" s="45" t="s">
        <v>57</v>
      </c>
      <c r="E56" s="48" t="s">
        <v>24</v>
      </c>
      <c r="F56" s="45" t="s">
        <v>46</v>
      </c>
    </row>
    <row r="57" ht="20" customHeight="1" spans="1:6" x14ac:dyDescent="0.25">
      <c r="A57" s="41">
        <v>52</v>
      </c>
      <c r="B57" s="42" t="s">
        <v>227</v>
      </c>
      <c r="C57" s="42" t="s">
        <v>56</v>
      </c>
      <c r="D57" s="42" t="s">
        <v>57</v>
      </c>
      <c r="E57" s="47" t="s">
        <v>24</v>
      </c>
      <c r="F57" s="42" t="s">
        <v>46</v>
      </c>
    </row>
    <row r="58" ht="20" customHeight="1" spans="1:6" x14ac:dyDescent="0.25">
      <c r="A58" s="44">
        <v>53</v>
      </c>
      <c r="B58" s="45" t="s">
        <v>228</v>
      </c>
      <c r="C58" s="45" t="s">
        <v>56</v>
      </c>
      <c r="D58" s="45" t="s">
        <v>57</v>
      </c>
      <c r="E58" s="48" t="s">
        <v>24</v>
      </c>
      <c r="F58" s="45" t="s">
        <v>46</v>
      </c>
    </row>
    <row r="59" ht="20" customHeight="1" spans="1:6" x14ac:dyDescent="0.25">
      <c r="A59" s="41">
        <v>55</v>
      </c>
      <c r="B59" s="42" t="s">
        <v>229</v>
      </c>
      <c r="C59" s="42" t="s">
        <v>230</v>
      </c>
      <c r="D59" s="42" t="s">
        <v>178</v>
      </c>
      <c r="E59" s="47" t="s">
        <v>24</v>
      </c>
      <c r="F59" s="42" t="s">
        <v>46</v>
      </c>
    </row>
    <row r="60" ht="20" customHeight="1" spans="1:6" x14ac:dyDescent="0.25">
      <c r="A60" s="44">
        <v>56</v>
      </c>
      <c r="B60" s="45" t="s">
        <v>231</v>
      </c>
      <c r="C60" s="45" t="s">
        <v>230</v>
      </c>
      <c r="D60" s="45" t="s">
        <v>170</v>
      </c>
      <c r="E60" s="48" t="s">
        <v>24</v>
      </c>
      <c r="F60" s="45" t="s">
        <v>46</v>
      </c>
    </row>
    <row r="61" ht="20" customHeight="1" spans="1:6" x14ac:dyDescent="0.25">
      <c r="A61" s="41">
        <v>57</v>
      </c>
      <c r="B61" s="42" t="s">
        <v>232</v>
      </c>
      <c r="C61" s="42" t="s">
        <v>230</v>
      </c>
      <c r="D61" s="42" t="s">
        <v>233</v>
      </c>
      <c r="E61" s="47" t="s">
        <v>24</v>
      </c>
      <c r="F61" s="42" t="s">
        <v>46</v>
      </c>
    </row>
    <row r="62" ht="20" customHeight="1" spans="1:6" x14ac:dyDescent="0.25">
      <c r="A62" s="44">
        <v>58</v>
      </c>
      <c r="B62" s="45" t="s">
        <v>234</v>
      </c>
      <c r="C62" s="45" t="s">
        <v>230</v>
      </c>
      <c r="D62" s="45" t="s">
        <v>233</v>
      </c>
      <c r="E62" s="48" t="s">
        <v>24</v>
      </c>
      <c r="F62" s="45" t="s">
        <v>46</v>
      </c>
    </row>
    <row r="63" ht="20" customHeight="1" spans="1:6" x14ac:dyDescent="0.25">
      <c r="A63" s="41">
        <v>59</v>
      </c>
      <c r="B63" s="42" t="s">
        <v>235</v>
      </c>
      <c r="C63" s="42" t="s">
        <v>112</v>
      </c>
      <c r="D63" s="42" t="s">
        <v>170</v>
      </c>
      <c r="E63" s="47" t="s">
        <v>24</v>
      </c>
      <c r="F63" s="42" t="s">
        <v>46</v>
      </c>
    </row>
    <row r="64" ht="20" customHeight="1" spans="1:6" x14ac:dyDescent="0.25">
      <c r="A64" s="44">
        <v>60</v>
      </c>
      <c r="B64" s="45" t="s">
        <v>236</v>
      </c>
      <c r="C64" s="45" t="s">
        <v>112</v>
      </c>
      <c r="D64" s="45" t="s">
        <v>170</v>
      </c>
      <c r="E64" s="48" t="s">
        <v>24</v>
      </c>
      <c r="F64" s="45" t="s">
        <v>46</v>
      </c>
    </row>
    <row r="65" ht="20" customHeight="1" spans="1:6" x14ac:dyDescent="0.25">
      <c r="A65" s="41">
        <v>61</v>
      </c>
      <c r="B65" s="42" t="s">
        <v>237</v>
      </c>
      <c r="C65" s="42" t="s">
        <v>112</v>
      </c>
      <c r="D65" s="42" t="s">
        <v>170</v>
      </c>
      <c r="E65" s="43" t="s">
        <v>21</v>
      </c>
      <c r="F65" s="42" t="s">
        <v>110</v>
      </c>
    </row>
    <row r="66" ht="20" customHeight="1" spans="1:6" x14ac:dyDescent="0.25">
      <c r="A66" s="44">
        <v>62</v>
      </c>
      <c r="B66" s="45" t="s">
        <v>238</v>
      </c>
      <c r="C66" s="45" t="s">
        <v>112</v>
      </c>
      <c r="D66" s="45" t="s">
        <v>170</v>
      </c>
      <c r="E66" s="48" t="s">
        <v>24</v>
      </c>
      <c r="F66" s="45" t="s">
        <v>46</v>
      </c>
    </row>
    <row r="67" ht="20" customHeight="1" spans="1:6" x14ac:dyDescent="0.25">
      <c r="A67" s="41">
        <v>63</v>
      </c>
      <c r="B67" s="42" t="s">
        <v>239</v>
      </c>
      <c r="C67" s="42" t="s">
        <v>112</v>
      </c>
      <c r="D67" s="42" t="s">
        <v>170</v>
      </c>
      <c r="E67" s="47" t="s">
        <v>24</v>
      </c>
      <c r="F67" s="42" t="s">
        <v>46</v>
      </c>
    </row>
    <row r="69" ht="20" customHeight="1" spans="1:6" x14ac:dyDescent="0.25">
      <c r="A69" s="30" t="s">
        <v>27</v>
      </c>
      <c r="B69" s="30"/>
      <c r="C69" s="30"/>
      <c r="D69" s="30"/>
      <c r="E69" s="31" t="s">
        <v>28</v>
      </c>
      <c r="F69" s="31"/>
    </row>
  </sheetData>
  <autoFilter ref="A6:F67"/>
  <mergeCells count="5">
    <mergeCell ref="A1:D1"/>
    <mergeCell ref="A2:D2"/>
    <mergeCell ref="A3:D3"/>
    <mergeCell ref="A69:D69"/>
    <mergeCell ref="E69:F69"/>
  </mergeCells>
  <pageSetup paperSize="1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Checklist</vt:lpstr>
      <vt:lpstr>Catálogo CN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RCMA</dc:creator>
  <dc:title/>
  <dc:subject/>
  <dc:description/>
  <cp:keywords/>
  <cp:category/>
  <cp:lastModifiedBy>Unknown</cp:lastModifiedBy>
  <dcterms:created xsi:type="dcterms:W3CDTF">2026-10-29T02:12:51Z</dcterms:created>
  <dcterms:modified xsi:type="dcterms:W3CDTF">2026-10-29T02:12:51Z</dcterms:modified>
</cp:coreProperties>
</file>